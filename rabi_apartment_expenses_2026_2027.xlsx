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2027\"/>
    </mc:Choice>
  </mc:AlternateContent>
  <xr:revisionPtr revIDLastSave="0" documentId="13_ncr:1_{4FB269D9-06B0-4FFE-B7EE-1A877DEEE7C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us Alahmed" sheetId="33" r:id="rId1"/>
    <sheet name="Siraj" sheetId="28" r:id="rId2"/>
    <sheet name="Main Expenses (Fixed)" sheetId="4" r:id="rId3"/>
    <sheet name="Days each month" sheetId="29" r:id="rId4"/>
    <sheet name="October 2026" sheetId="3" r:id="rId5"/>
    <sheet name="November 2026" sheetId="17" r:id="rId6"/>
    <sheet name="December 2026" sheetId="18" r:id="rId7"/>
    <sheet name="January 2027" sheetId="19" r:id="rId8"/>
    <sheet name="February 2027" sheetId="20" r:id="rId9"/>
    <sheet name="March 2027" sheetId="21" r:id="rId10"/>
    <sheet name="April 2027" sheetId="22" r:id="rId11"/>
    <sheet name="May 2027" sheetId="23" r:id="rId12"/>
    <sheet name="June 2027" sheetId="24" r:id="rId13"/>
    <sheet name="July 2027" sheetId="25" r:id="rId14"/>
    <sheet name="August 2027" sheetId="26" r:id="rId15"/>
    <sheet name="September 2027" sheetId="27" r:id="rId16"/>
    <sheet name="October 2027" sheetId="30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33" l="1"/>
  <c r="D78" i="33"/>
  <c r="D72" i="33"/>
  <c r="D67" i="33"/>
  <c r="D60" i="33"/>
  <c r="D52" i="33"/>
  <c r="D44" i="33"/>
  <c r="D36" i="33"/>
  <c r="D30" i="33"/>
  <c r="D24" i="33"/>
  <c r="D19" i="33"/>
  <c r="D11" i="33"/>
  <c r="D5" i="33"/>
  <c r="C21" i="29"/>
  <c r="E45" i="29"/>
  <c r="E46" i="28"/>
  <c r="C17" i="23"/>
  <c r="E55" i="33" s="1"/>
  <c r="C60" i="24"/>
  <c r="E62" i="28" s="1"/>
  <c r="C17" i="24"/>
  <c r="E62" i="33" s="1"/>
  <c r="C60" i="30"/>
  <c r="C17" i="30"/>
  <c r="E87" i="33" s="1"/>
  <c r="C13" i="4"/>
  <c r="C15" i="4" s="1"/>
  <c r="C19" i="4" s="1"/>
  <c r="C17" i="22"/>
  <c r="E46" i="33" s="1"/>
  <c r="C60" i="22"/>
  <c r="C17" i="21"/>
  <c r="E37" i="33" s="1"/>
  <c r="C60" i="21"/>
  <c r="E37" i="28" s="1"/>
  <c r="C40" i="20"/>
  <c r="C40" i="19"/>
  <c r="C40" i="18"/>
  <c r="C40" i="17"/>
  <c r="C17" i="20"/>
  <c r="E32" i="33" s="1"/>
  <c r="C60" i="20"/>
  <c r="E32" i="28" s="1"/>
  <c r="C40" i="3"/>
  <c r="C76" i="3" s="1"/>
  <c r="C77" i="3" s="1"/>
  <c r="C60" i="27"/>
  <c r="E81" i="28" s="1"/>
  <c r="C60" i="26"/>
  <c r="E75" i="28" s="1"/>
  <c r="C60" i="25"/>
  <c r="E69" i="28" s="1"/>
  <c r="C60" i="23"/>
  <c r="E55" i="28" s="1"/>
  <c r="C60" i="19"/>
  <c r="E27" i="28" s="1"/>
  <c r="C17" i="17"/>
  <c r="C60" i="17"/>
  <c r="E15" i="28" s="1"/>
  <c r="C17" i="27"/>
  <c r="E81" i="33" s="1"/>
  <c r="C17" i="26"/>
  <c r="E75" i="33" s="1"/>
  <c r="C17" i="25"/>
  <c r="C17" i="18"/>
  <c r="E21" i="33" s="1"/>
  <c r="C17" i="3"/>
  <c r="E8" i="33" s="1"/>
  <c r="C60" i="3"/>
  <c r="E8" i="28" s="1"/>
  <c r="C60" i="18"/>
  <c r="E21" i="28" s="1"/>
  <c r="D96" i="33" l="1"/>
  <c r="C40" i="25"/>
  <c r="C76" i="25" s="1"/>
  <c r="C77" i="25" s="1"/>
  <c r="E68" i="33" s="1"/>
  <c r="C40" i="23"/>
  <c r="C76" i="23" s="1"/>
  <c r="C77" i="23" s="1"/>
  <c r="C40" i="30"/>
  <c r="C76" i="30" s="1"/>
  <c r="C77" i="30" s="1"/>
  <c r="E86" i="33" s="1"/>
  <c r="G89" i="33" s="1"/>
  <c r="C34" i="27"/>
  <c r="C35" i="27"/>
  <c r="E69" i="33"/>
  <c r="C40" i="24"/>
  <c r="C40" i="22"/>
  <c r="C76" i="22"/>
  <c r="C77" i="22" s="1"/>
  <c r="E45" i="33" s="1"/>
  <c r="G50" i="33" s="1"/>
  <c r="C40" i="21"/>
  <c r="C76" i="21" s="1"/>
  <c r="C77" i="21" s="1"/>
  <c r="E36" i="28" s="1"/>
  <c r="G42" i="28" s="1"/>
  <c r="C76" i="20"/>
  <c r="C77" i="20" s="1"/>
  <c r="C17" i="19"/>
  <c r="E27" i="33" s="1"/>
  <c r="C76" i="19"/>
  <c r="C77" i="19" s="1"/>
  <c r="E26" i="28" s="1"/>
  <c r="G28" i="28" s="1"/>
  <c r="C76" i="18"/>
  <c r="C77" i="18" s="1"/>
  <c r="C76" i="17"/>
  <c r="C77" i="17" s="1"/>
  <c r="E14" i="33" s="1"/>
  <c r="E14" i="28"/>
  <c r="G17" i="28" s="1"/>
  <c r="E15" i="33"/>
  <c r="E7" i="28"/>
  <c r="G9" i="28" s="1"/>
  <c r="E7" i="33"/>
  <c r="G9" i="33" s="1"/>
  <c r="C27" i="4"/>
  <c r="C16" i="4"/>
  <c r="E87" i="28"/>
  <c r="F45" i="29"/>
  <c r="G45" i="29"/>
  <c r="E36" i="33" l="1"/>
  <c r="G42" i="33" s="1"/>
  <c r="C76" i="24"/>
  <c r="C77" i="24" s="1"/>
  <c r="E61" i="28" s="1"/>
  <c r="G64" i="28" s="1"/>
  <c r="C40" i="27"/>
  <c r="C76" i="27" s="1"/>
  <c r="C77" i="27" s="1"/>
  <c r="E80" i="33" s="1"/>
  <c r="G82" i="33" s="1"/>
  <c r="C40" i="26"/>
  <c r="C76" i="26" s="1"/>
  <c r="G70" i="33"/>
  <c r="E54" i="28"/>
  <c r="G57" i="28" s="1"/>
  <c r="E54" i="33"/>
  <c r="G57" i="33" s="1"/>
  <c r="E45" i="28"/>
  <c r="G50" i="28" s="1"/>
  <c r="E31" i="33"/>
  <c r="G34" i="33" s="1"/>
  <c r="E31" i="28"/>
  <c r="G34" i="28" s="1"/>
  <c r="E26" i="33"/>
  <c r="G28" i="33" s="1"/>
  <c r="E20" i="28"/>
  <c r="G22" i="28" s="1"/>
  <c r="E20" i="33"/>
  <c r="G22" i="33" s="1"/>
  <c r="G17" i="33"/>
  <c r="E86" i="28"/>
  <c r="G89" i="28" s="1"/>
  <c r="C18" i="4"/>
  <c r="C25" i="29" s="1"/>
  <c r="C26" i="29"/>
  <c r="C17" i="4"/>
  <c r="C24" i="29" s="1"/>
  <c r="E68" i="28"/>
  <c r="G70" i="28" s="1"/>
  <c r="C77" i="26" l="1"/>
  <c r="E74" i="33" s="1"/>
  <c r="E61" i="33"/>
  <c r="G64" i="33" s="1"/>
  <c r="E80" i="28"/>
  <c r="G82" i="28" s="1"/>
  <c r="D72" i="28"/>
  <c r="D67" i="28"/>
  <c r="D60" i="28"/>
  <c r="D52" i="28"/>
  <c r="D44" i="28"/>
  <c r="D36" i="28"/>
  <c r="D30" i="28"/>
  <c r="D24" i="28"/>
  <c r="D19" i="28"/>
  <c r="D11" i="28"/>
  <c r="D5" i="28"/>
  <c r="D84" i="28"/>
  <c r="D78" i="28"/>
  <c r="D15" i="29"/>
  <c r="D16" i="29"/>
  <c r="D12" i="29"/>
  <c r="D7" i="29"/>
  <c r="D17" i="29"/>
  <c r="D11" i="29"/>
  <c r="D10" i="29"/>
  <c r="D8" i="29"/>
  <c r="D21" i="29"/>
  <c r="E23" i="29" s="1"/>
  <c r="D6" i="29"/>
  <c r="D14" i="29"/>
  <c r="D9" i="29"/>
  <c r="D13" i="29"/>
  <c r="D5" i="29"/>
  <c r="E74" i="28" l="1"/>
  <c r="G76" i="28" s="1"/>
  <c r="G76" i="33"/>
  <c r="E96" i="33"/>
  <c r="D96" i="28"/>
  <c r="E96" i="28" l="1"/>
</calcChain>
</file>

<file path=xl/sharedStrings.xml><?xml version="1.0" encoding="utf-8"?>
<sst xmlns="http://schemas.openxmlformats.org/spreadsheetml/2006/main" count="569" uniqueCount="111">
  <si>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</si>
  <si>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</si>
  <si>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</si>
  <si>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</si>
  <si>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</si>
  <si>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</si>
  <si>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</si>
  <si>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</si>
  <si>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</si>
  <si>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</si>
  <si>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</si>
  <si>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</si>
  <si>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</si>
  <si>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</si>
  <si>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</si>
  <si>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</si>
  <si>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</si>
  <si>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</si>
  <si>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</si>
  <si>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</si>
  <si>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</si>
  <si>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</si>
  <si>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</si>
  <si>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Total</t>
  </si>
  <si>
    <t>Final Share on Each Member (fixed)</t>
  </si>
  <si>
    <t>Month: October 2025</t>
  </si>
  <si>
    <t>Payments by Hus Alahmed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</si>
  <si>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</si>
  <si>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</si>
  <si>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</si>
  <si>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</si>
  <si>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</si>
  <si>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</si>
  <si>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</si>
  <si>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</si>
  <si>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</si>
  <si>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</si>
  <si>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</si>
  <si>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</si>
  <si>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</si>
  <si>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</si>
  <si>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المجموع</t>
  </si>
  <si>
    <t>الأجار الشهري على المجموعة</t>
  </si>
  <si>
    <t>الأجار الفردي على الشخص (ابو هادي + سراج + أبو علي)</t>
  </si>
  <si>
    <t>Rental Expiry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</si>
  <si>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</si>
  <si>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</si>
  <si>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</si>
  <si>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</si>
  <si>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</si>
  <si>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</si>
  <si>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الأجار اليومي الكامل للشقة - بغض النظر عن العدد</t>
  </si>
  <si>
    <t>Hussain Alahmed</t>
  </si>
  <si>
    <t>Siraj Quraish</t>
  </si>
  <si>
    <t>Hussain Almoghalliq</t>
  </si>
  <si>
    <t>عزبة أكتوبر 2026 المشتركة</t>
  </si>
  <si>
    <t>المبلغ المسترجع لشهر أكتوبر 2026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</si>
  <si>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</si>
  <si>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Rental Amounts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</si>
  <si>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</si>
  <si>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</si>
  <si>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</si>
  <si>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</si>
  <si>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</si>
  <si>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</si>
  <si>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</si>
  <si>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</si>
  <si>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</si>
  <si>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</si>
  <si>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</si>
  <si>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</si>
  <si>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</si>
  <si>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</si>
  <si>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</si>
  <si>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</si>
  <si>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</si>
  <si>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</si>
  <si>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</si>
  <si>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</si>
  <si>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أجار الشقة الشهري - 3 أشخاص - 18 يوم</t>
  </si>
  <si>
    <t>أجار سنة كاملة
October 14 2026 to October 13 2027</t>
  </si>
  <si>
    <t>أجار الشقة الشهري - 3 أشخاص - 13 يوم</t>
  </si>
  <si>
    <t>عزبة نوفمبر 2026 المشتركة</t>
  </si>
  <si>
    <t>المبلغ المسترجع لشهر نوفمبر 2026</t>
  </si>
  <si>
    <t>عزبة ديسمبر 2026 المشتركة</t>
  </si>
  <si>
    <t>المبلغ المسترجع لشهر ديسمبر 2026</t>
  </si>
  <si>
    <t>عزبة يناير 2027 المشتركة</t>
  </si>
  <si>
    <t>المبلغ المسترجع لشهر يناير 2027</t>
  </si>
  <si>
    <t>عزبة فبراير 2027 المشتركة</t>
  </si>
  <si>
    <t>المبلغ المسترجع لشهر فبراير 2027</t>
  </si>
  <si>
    <t>عزبة مارس 2027 المشتركة</t>
  </si>
  <si>
    <t>المبلغ المسترجع لشهر مارس 2027</t>
  </si>
  <si>
    <t>عزبة أبريل 2027 المشتركة</t>
  </si>
  <si>
    <t>المبلغ المسترجع لشهر أبريل 2027</t>
  </si>
  <si>
    <t>عزبة مايو 2027 المشتركة</t>
  </si>
  <si>
    <t>المبلغ المسترجع لشهر مايو 2027</t>
  </si>
  <si>
    <t>المبلغ المسترجع لشهر جون 2027</t>
  </si>
  <si>
    <t>عزبة جون 2027 المشتركة</t>
  </si>
  <si>
    <t>عزبة جولاي 2027 المشتركة</t>
  </si>
  <si>
    <t>المبلغ المسترجع لشهر جولاي 2027</t>
  </si>
  <si>
    <t>المبلغ المسترجع لشهر أغسطس 2027</t>
  </si>
  <si>
    <t>عزبة أغسطس 2027 المشتركة</t>
  </si>
  <si>
    <t>عزبة سبتمبر 2027 المشتركة</t>
  </si>
  <si>
    <t>المبلغ المسترجع لشهر سبتمبر 2027</t>
  </si>
  <si>
    <t>عزبة أكتوبر 2027 المشتركة</t>
  </si>
  <si>
    <t>المبلغ المسترجع لشهر أكتوبر 2027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</si>
  <si>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Hussain Alahmed</t>
    </r>
    <r>
      <rPr>
        <sz val="18"/>
        <color rgb="FF000000"/>
        <rFont val="Calibri"/>
        <family val="2"/>
        <scheme val="minor"/>
      </rPr>
      <t xml:space="preserve"> to Hussain</t>
    </r>
  </si>
  <si>
    <t>Rental Start</t>
  </si>
  <si>
    <t>دفعة للأجار</t>
  </si>
  <si>
    <t>MAY</t>
  </si>
  <si>
    <t>مسترجع من أجار مدة اكتوبر 2025 الى اكتوبر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</si>
</sst>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17" fontId="2" fillId="4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5" fillId="7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8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6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28" xfId="0" applyNumberFormat="1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33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" fontId="1" fillId="0" borderId="31" xfId="0" applyNumberFormat="1" applyFont="1" applyBorder="1" applyAlignment="1">
      <alignment horizontal="center" vertical="center"/>
    </xf>
    <xf numFmtId="2" fontId="1" fillId="5" borderId="20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30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4" fontId="1" fillId="0" borderId="40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16" fontId="1" fillId="0" borderId="6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</cellXfs>
  <cellStyles count="1">
    <cellStyle name="Normal" xfId="0" builtinId="0"/>
  </cellStyles>
  <dxfs count="2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B942152-8145-4563-99A9-A7D21C09004B}" name="Table524047" displayName="Table524047" ref="B3:F13" totalsRowShown="0" headerRowDxfId="281" headerRowBorderDxfId="280" tableBorderDxfId="279" totalsRowBorderDxfId="278">
  <autoFilter ref="B3:F13" xr:uid="{3E62A328-AD6E-48B2-A699-07AB142B3434}"/>
  <tableColumns count="5">
    <tableColumn id="1" xr3:uid="{97965C2C-9F10-43FA-8230-95A171227E4E}" name="Date" dataDxfId="277"/>
    <tableColumn id="2" xr3:uid="{A8EC653B-6087-4D02-A239-23BC52151438}" name="Description" dataDxfId="276"/>
    <tableColumn id="5" xr3:uid="{6FA64202-3D72-4E25-9EB4-C9C94409F9B6}" name="Rental Amounts" dataDxfId="275"/>
    <tableColumn id="3" xr3:uid="{17957902-6DAA-4BD9-A7CD-D6ADE21B00D5}" name="General Expenses" dataDxfId="274"/>
    <tableColumn id="4" xr3:uid="{C58CB5CA-2A3E-4BB8-ACC4-E201CB448484}" name="Comments" dataDxfId="2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3" totalsRowShown="0" headerRowDxfId="290" headerRowBorderDxfId="289" tableBorderDxfId="288" totalsRowBorderDxfId="287">
  <autoFilter ref="B3:F13" xr:uid="{3E62A328-AD6E-48B2-A699-07AB142B3434}"/>
  <tableColumns count="5">
    <tableColumn id="1" xr3:uid="{DC69C7C0-9FC3-4D47-B9DA-EABE938C7483}" name="Date" dataDxfId="286"/>
    <tableColumn id="2" xr3:uid="{B93F1828-8FAA-4039-9459-BDF6550CC6CA}" name="Description" dataDxfId="285"/>
    <tableColumn id="5" xr3:uid="{B265A6FB-EFF0-42DD-A3E6-612B19FA9A47}" name="Rental Amounts" dataDxfId="284"/>
    <tableColumn id="3" xr3:uid="{B3AA0C51-56B3-4FB2-86DB-CB9171D472DF}" name="General Expenses" dataDxfId="283"/>
    <tableColumn id="4" xr3:uid="{C43A1CDC-2AEA-477C-87AD-8427A09D4D9A}" name="Comments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4:D40" totalsRowShown="0" headerRowBorderDxfId="272" tableBorderDxfId="271" totalsRowBorderDxfId="270">
  <autoFilter ref="A24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7" totalsRowShown="0" headerRowBorderDxfId="265" tableBorderDxfId="264" totalsRowBorderDxfId="263">
  <autoFilter ref="A7:D17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0" totalsRowShown="0" headerRowBorderDxfId="258" tableBorderDxfId="257" totalsRowBorderDxfId="256">
  <autoFilter ref="A49:D60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4:D40" totalsRowShown="0" headerRowBorderDxfId="251" tableBorderDxfId="250" totalsRowBorderDxfId="249">
  <autoFilter ref="A24:D40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7" totalsRowShown="0" headerRowBorderDxfId="244" tableBorderDxfId="243" totalsRowBorderDxfId="242">
  <autoFilter ref="A7:D17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9:D60" totalsRowShown="0" headerRowBorderDxfId="237" tableBorderDxfId="236" totalsRowBorderDxfId="235">
  <autoFilter ref="A49:D60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4:D40" totalsRowShown="0" headerRowBorderDxfId="230" tableBorderDxfId="229" totalsRowBorderDxfId="228">
  <autoFilter ref="A24:D40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7" totalsRowShown="0" headerRowBorderDxfId="223" tableBorderDxfId="222" totalsRowBorderDxfId="221">
  <autoFilter ref="A7:D17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9:D60" totalsRowShown="0" headerRowBorderDxfId="216" tableBorderDxfId="215" totalsRowBorderDxfId="214">
  <autoFilter ref="A49:D60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4:D40" totalsRowShown="0" headerRowBorderDxfId="209" tableBorderDxfId="208" totalsRowBorderDxfId="207">
  <autoFilter ref="A24:D40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7" totalsRowShown="0" headerRowBorderDxfId="202" tableBorderDxfId="201" totalsRowBorderDxfId="200">
  <autoFilter ref="A7:D17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9:D60" totalsRowShown="0" headerRowBorderDxfId="195" tableBorderDxfId="194" totalsRowBorderDxfId="193">
  <autoFilter ref="A49:D60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SUM(C30:C49)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4:D40" totalsRowShown="0" headerRowBorderDxfId="188" tableBorderDxfId="187" totalsRowBorderDxfId="186">
  <autoFilter ref="A24:D40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7" totalsRowShown="0" headerRowBorderDxfId="181" tableBorderDxfId="180" totalsRowBorderDxfId="179">
  <autoFilter ref="A7:D17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9:D60" totalsRowShown="0" headerRowBorderDxfId="174" tableBorderDxfId="173" totalsRowBorderDxfId="172">
  <autoFilter ref="A49:D60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40" totalsRowShown="0" headerRowBorderDxfId="167" tableBorderDxfId="166" totalsRowBorderDxfId="165">
  <autoFilter ref="A24:D40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9:D60" totalsRowShown="0" headerRowBorderDxfId="153" tableBorderDxfId="152" totalsRowBorderDxfId="151">
  <autoFilter ref="A49:D60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40" totalsRowShown="0" headerRowBorderDxfId="146" tableBorderDxfId="145" totalsRowBorderDxfId="144">
  <autoFilter ref="A24:D40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9:D60" totalsRowShown="0" headerRowBorderDxfId="132" tableBorderDxfId="131" totalsRowBorderDxfId="130">
  <autoFilter ref="A49:D60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40" totalsRowShown="0" headerRowBorderDxfId="125" tableBorderDxfId="124" totalsRowBorderDxfId="123">
  <autoFilter ref="A24:D40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9:D60" totalsRowShown="0" headerRowBorderDxfId="111" tableBorderDxfId="110" totalsRowBorderDxfId="109">
  <autoFilter ref="A49:D60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40" totalsRowShown="0" headerRowBorderDxfId="104" tableBorderDxfId="103" totalsRowBorderDxfId="102">
  <autoFilter ref="A24:D40" xr:uid="{6A708C44-F2F5-4584-913D-DD0A472A5F82}"/>
  <tableColumns count="4">
    <tableColumn id="1" xr3:uid="{E96303EF-7738-4CF3-8123-697A234B6A09}" name="Date" dataDxfId="101"/>
    <tableColumn id="2" xr3:uid="{3312BBFC-D7AE-40F5-88BB-4F2090965B2F}" name="Description" dataDxfId="100"/>
    <tableColumn id="3" xr3:uid="{C94D8547-46A3-4E49-A1BF-F443AA3C2C53}" name="Amount" dataDxfId="99">
      <calculatedColumnFormula>SUM(C12:C24)</calculatedColumnFormula>
    </tableColumn>
    <tableColumn id="4" xr3:uid="{98BC32BE-6DE5-47D3-B457-8BC83D131AD2}" name="Paid By" dataDxfId="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7" tableBorderDxfId="96" totalsRowBorderDxfId="95">
  <autoFilter ref="A7:D17" xr:uid="{80463B2B-140C-4BDB-8DD5-F6096215EFE7}"/>
  <tableColumns count="4">
    <tableColumn id="1" xr3:uid="{615F6B0D-B523-49B3-8972-E6BDE41F4859}" name="Date" dataDxfId="94"/>
    <tableColumn id="2" xr3:uid="{02BB9A1A-BCF3-4DC6-BA28-DC3C9B0AECFB}" name="Description" dataDxfId="93"/>
    <tableColumn id="3" xr3:uid="{D44C4E7F-B5DC-4EAE-A711-C97BE01DE42A}" name="Amount" dataDxfId="92"/>
    <tableColumn id="4" xr3:uid="{A23C051D-4BC9-4A39-88F3-25B4C66241CC}" name="Paid By" dataDxfId="9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9:D60" totalsRowShown="0" headerRowBorderDxfId="90" tableBorderDxfId="89" totalsRowBorderDxfId="88">
  <autoFilter ref="A49:D60" xr:uid="{AE116159-1DBD-4123-96D0-93E844246614}"/>
  <tableColumns count="4">
    <tableColumn id="1" xr3:uid="{D039F970-B7C3-4BB7-A0CC-F3C1C1413BCE}" name="Date" dataDxfId="87"/>
    <tableColumn id="2" xr3:uid="{CD6B28B9-E1BA-45E1-A87D-182D0CEB759C}" name="Description" dataDxfId="86"/>
    <tableColumn id="3" xr3:uid="{A3FCD3D7-84EB-4548-A8A2-06E9A504325A}" name="Amount" dataDxfId="85"/>
    <tableColumn id="4" xr3:uid="{FC3CA437-82BE-4E86-B440-284EFF667BD1}" name="Paid By" dataDxfId="8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40" totalsRowShown="0" headerRowBorderDxfId="83" tableBorderDxfId="82" totalsRowBorderDxfId="81">
  <autoFilter ref="A24:D40" xr:uid="{6A708C44-F2F5-4584-913D-DD0A472A5F82}"/>
  <tableColumns count="4">
    <tableColumn id="1" xr3:uid="{196BD304-5519-408A-A6BB-1615EA264D8F}" name="Date" dataDxfId="80"/>
    <tableColumn id="2" xr3:uid="{3AB38D40-EC99-4014-B2E0-7E944C56F35D}" name="Description" dataDxfId="79"/>
    <tableColumn id="3" xr3:uid="{2EF4EEAE-B365-4536-8D8E-210877CF3F1F}" name="Amount" dataDxfId="78">
      <calculatedColumnFormula>SUM(C12:C24)</calculatedColumnFormula>
    </tableColumn>
    <tableColumn id="4" xr3:uid="{5CECE71A-950B-4EF0-885D-B5C836587240}" name="Paid By" dataDxfId="7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76" tableBorderDxfId="75" totalsRowBorderDxfId="74">
  <autoFilter ref="A7:D17" xr:uid="{80463B2B-140C-4BDB-8DD5-F6096215EFE7}"/>
  <tableColumns count="4">
    <tableColumn id="1" xr3:uid="{0B565F45-DA6F-4EEF-85AF-ADD60104E697}" name="Date" dataDxfId="73"/>
    <tableColumn id="2" xr3:uid="{0080A63F-5189-4A7A-AB81-B9E27425BD4D}" name="Description" dataDxfId="72"/>
    <tableColumn id="3" xr3:uid="{89F8AE81-8867-4541-B9E9-E35E4C0A2E09}" name="Amount" dataDxfId="71"/>
    <tableColumn id="4" xr3:uid="{E7A0F857-9959-44E1-8B8B-49A1EE7F041E}" name="Paid By" dataDxfId="70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9:D60" totalsRowShown="0" headerRowBorderDxfId="69" tableBorderDxfId="68" totalsRowBorderDxfId="67">
  <autoFilter ref="A49:D60" xr:uid="{AE116159-1DBD-4123-96D0-93E844246614}"/>
  <tableColumns count="4">
    <tableColumn id="1" xr3:uid="{66E00E51-43A2-4714-8E5C-882A222904F3}" name="Date" dataDxfId="66"/>
    <tableColumn id="2" xr3:uid="{507BCBF0-20F5-49ED-A5E1-BD673E453407}" name="Description" dataDxfId="65"/>
    <tableColumn id="3" xr3:uid="{5E9B76AA-AE15-4960-B42E-6F110B0CEFD4}" name="Amount" dataDxfId="64"/>
    <tableColumn id="4" xr3:uid="{48AB9063-7368-4860-A954-1D7A93423AE1}" name="Paid By" dataDxfId="6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4:D40" totalsRowShown="0" headerRowBorderDxfId="62" tableBorderDxfId="61" totalsRowBorderDxfId="60">
  <autoFilter ref="A24:D40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SUM(C8:C24)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7" totalsRowShown="0" headerRowBorderDxfId="55" tableBorderDxfId="54" totalsRowBorderDxfId="53">
  <autoFilter ref="A7:D17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9:D60" totalsRowShown="0" headerRowBorderDxfId="48" tableBorderDxfId="47" totalsRowBorderDxfId="46">
  <autoFilter ref="A49:D60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4:D40" totalsRowShown="0" headerRowBorderDxfId="41" tableBorderDxfId="40" totalsRowBorderDxfId="39">
  <autoFilter ref="A24:D40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SUM(C8:C24)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7" totalsRowShown="0" headerRowBorderDxfId="34" tableBorderDxfId="33" totalsRowBorderDxfId="32">
  <autoFilter ref="A7:D17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9:D60" totalsRowShown="0" headerRowBorderDxfId="27" tableBorderDxfId="26" totalsRowBorderDxfId="25">
  <autoFilter ref="A49:D60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4:D40" totalsRowShown="0" headerRowBorderDxfId="20" tableBorderDxfId="19" totalsRowBorderDxfId="18">
  <autoFilter ref="A24:D40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SUM(C8:C24)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7" totalsRowShown="0" headerRowBorderDxfId="13" tableBorderDxfId="12" totalsRowBorderDxfId="11">
  <autoFilter ref="A7:D17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9:D60" totalsRowShown="0" headerRowBorderDxfId="6" tableBorderDxfId="5" totalsRowBorderDxfId="4">
  <autoFilter ref="A49:D60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B9F9-CD62-4104-8539-73711B298F12}">
  <dimension ref="A1:K98"/>
  <sheetViews>
    <sheetView topLeftCell="A91" zoomScale="85" zoomScaleNormal="85" workbookViewId="0">
      <selection activeCell="B7" sqref="B7"/>
    </sheetView>
  </sheetViews>
  <sheetFormatPr defaultColWidth="9.109375" defaultRowHeight="23.4" x14ac:dyDescent="0.3"/>
  <cols>
    <col min="1" max="1" width="19.88671875" style="1" bestFit="1" customWidth="1"/>
    <col min="2" max="2" width="29.8867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1.886718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2" t="s">
        <v>106</v>
      </c>
      <c r="C1" s="122"/>
      <c r="D1" s="122"/>
      <c r="E1" s="122"/>
      <c r="F1" s="122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3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4"/>
      <c r="B6" s="120"/>
      <c r="C6" s="79" t="s">
        <v>110</v>
      </c>
      <c r="D6" s="83">
        <v>-162.63999999999999</v>
      </c>
      <c r="E6" s="43"/>
      <c r="F6" s="86"/>
      <c r="H6" s="29"/>
    </row>
    <row r="7" spans="1:8" ht="24.6" thickTop="1" thickBot="1" x14ac:dyDescent="0.35">
      <c r="A7" s="121"/>
      <c r="B7" s="118">
        <v>46293</v>
      </c>
      <c r="C7" s="84" t="s">
        <v>108</v>
      </c>
      <c r="D7" s="67">
        <v>-4954.3599999999997</v>
      </c>
      <c r="E7" s="100">
        <f>'October 2026'!C77</f>
        <v>0</v>
      </c>
      <c r="F7" s="86" t="s">
        <v>55</v>
      </c>
    </row>
    <row r="8" spans="1:8" ht="24.6" thickTop="1" thickBot="1" x14ac:dyDescent="0.35">
      <c r="A8" s="121"/>
      <c r="B8" s="106"/>
      <c r="C8" s="53"/>
      <c r="D8" s="43"/>
      <c r="E8" s="100">
        <f>'October 2026'!C17*(-1)</f>
        <v>0</v>
      </c>
      <c r="F8" s="86" t="s">
        <v>56</v>
      </c>
      <c r="H8" s="29"/>
    </row>
    <row r="9" spans="1:8" ht="24.6" thickTop="1" thickBot="1" x14ac:dyDescent="0.35">
      <c r="A9" s="121"/>
      <c r="B9" s="106"/>
      <c r="C9" s="53"/>
      <c r="D9" s="43"/>
      <c r="E9" s="101"/>
      <c r="F9" s="86"/>
      <c r="G9" s="102">
        <f>SUM(E6:E8)</f>
        <v>0</v>
      </c>
    </row>
    <row r="10" spans="1:8" ht="24.6" thickTop="1" thickBot="1" x14ac:dyDescent="0.35">
      <c r="A10" s="121"/>
      <c r="B10" s="107"/>
      <c r="C10" s="57"/>
      <c r="D10" s="85"/>
      <c r="E10" s="55"/>
      <c r="F10" s="90" t="s">
        <v>52</v>
      </c>
    </row>
    <row r="11" spans="1:8" ht="24.6" thickTop="1" thickBot="1" x14ac:dyDescent="0.35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1"/>
      <c r="B12" s="108"/>
      <c r="C12" s="33"/>
      <c r="D12" s="51"/>
      <c r="E12" s="51"/>
      <c r="F12" s="92"/>
    </row>
    <row r="13" spans="1:8" ht="24.6" thickTop="1" thickBot="1" x14ac:dyDescent="0.35">
      <c r="A13" s="121"/>
      <c r="B13" s="108"/>
      <c r="C13" s="33"/>
      <c r="D13" s="51"/>
      <c r="E13" s="51"/>
      <c r="F13" s="92"/>
    </row>
    <row r="14" spans="1:8" ht="24.6" thickTop="1" thickBot="1" x14ac:dyDescent="0.35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1"/>
      <c r="B15" s="106"/>
      <c r="C15" s="33"/>
      <c r="D15" s="45"/>
      <c r="E15" s="45">
        <f>'November 2026'!C17*(-1)</f>
        <v>0</v>
      </c>
      <c r="F15" s="86" t="s">
        <v>83</v>
      </c>
    </row>
    <row r="16" spans="1:8" ht="24.6" thickTop="1" thickBot="1" x14ac:dyDescent="0.35">
      <c r="A16" s="121"/>
      <c r="B16" s="108"/>
      <c r="C16" s="50"/>
      <c r="D16" s="51"/>
      <c r="E16" s="45"/>
      <c r="F16" s="86"/>
    </row>
    <row r="17" spans="1:11" ht="24.6" thickTop="1" thickBot="1" x14ac:dyDescent="0.35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1"/>
      <c r="B18" s="107"/>
      <c r="C18" s="59"/>
      <c r="D18" s="46"/>
      <c r="E18" s="46"/>
      <c r="F18" s="119" t="s">
        <v>52</v>
      </c>
    </row>
    <row r="19" spans="1:11" ht="24.6" thickTop="1" thickBot="1" x14ac:dyDescent="0.35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1"/>
      <c r="B21" s="106"/>
      <c r="C21" s="10"/>
      <c r="D21" s="43"/>
      <c r="E21" s="43">
        <f>'December 2026'!C17*(-1)</f>
        <v>0</v>
      </c>
      <c r="F21" s="86" t="s">
        <v>85</v>
      </c>
    </row>
    <row r="22" spans="1:11" ht="24.6" thickTop="1" thickBot="1" x14ac:dyDescent="0.35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1"/>
      <c r="B23" s="107"/>
      <c r="C23" s="57"/>
      <c r="D23" s="44"/>
      <c r="E23" s="44"/>
      <c r="F23" s="119" t="s">
        <v>52</v>
      </c>
      <c r="J23" s="4"/>
      <c r="K23" s="4"/>
    </row>
    <row r="24" spans="1:11" ht="24.6" thickTop="1" thickBot="1" x14ac:dyDescent="0.35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1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1"/>
      <c r="B27" s="106"/>
      <c r="C27" s="33"/>
      <c r="D27" s="45"/>
      <c r="E27" s="45">
        <f>'January 2027'!C17*(-1)</f>
        <v>0</v>
      </c>
      <c r="F27" s="86" t="s">
        <v>87</v>
      </c>
    </row>
    <row r="28" spans="1:11" ht="24.6" thickTop="1" thickBot="1" x14ac:dyDescent="0.35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1"/>
      <c r="B29" s="107"/>
      <c r="C29" s="59"/>
      <c r="D29" s="46"/>
      <c r="E29" s="46"/>
      <c r="F29" s="119" t="s">
        <v>52</v>
      </c>
    </row>
    <row r="30" spans="1:11" ht="24.6" thickTop="1" thickBot="1" x14ac:dyDescent="0.35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1"/>
      <c r="B32" s="106"/>
      <c r="C32" s="10"/>
      <c r="D32" s="43"/>
      <c r="E32" s="43">
        <f>'February 2027'!C17*(-1)</f>
        <v>0</v>
      </c>
      <c r="F32" s="86" t="s">
        <v>89</v>
      </c>
    </row>
    <row r="33" spans="1:7" ht="24.6" thickTop="1" thickBot="1" x14ac:dyDescent="0.35">
      <c r="A33" s="121"/>
      <c r="B33" s="108"/>
      <c r="C33" s="22"/>
      <c r="D33" s="49"/>
      <c r="E33" s="43"/>
      <c r="F33" s="86"/>
    </row>
    <row r="34" spans="1:7" ht="24.6" thickTop="1" thickBot="1" x14ac:dyDescent="0.35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1"/>
      <c r="B35" s="107"/>
      <c r="C35" s="56"/>
      <c r="D35" s="44"/>
      <c r="E35" s="44"/>
      <c r="F35" s="119" t="s">
        <v>52</v>
      </c>
    </row>
    <row r="36" spans="1:7" ht="24.6" thickTop="1" thickBot="1" x14ac:dyDescent="0.35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1"/>
      <c r="B37" s="106"/>
      <c r="C37" s="33"/>
      <c r="D37" s="45"/>
      <c r="E37" s="45">
        <f>'March 2027'!C17*(-1)</f>
        <v>0</v>
      </c>
      <c r="F37" s="86" t="s">
        <v>91</v>
      </c>
    </row>
    <row r="38" spans="1:7" ht="24.6" thickTop="1" thickBot="1" x14ac:dyDescent="0.35">
      <c r="A38" s="121"/>
      <c r="B38" s="108"/>
      <c r="C38" s="50"/>
      <c r="D38" s="51"/>
      <c r="E38" s="45"/>
      <c r="F38" s="98"/>
    </row>
    <row r="39" spans="1:7" ht="24.6" thickTop="1" thickBot="1" x14ac:dyDescent="0.35">
      <c r="A39" s="121"/>
      <c r="B39" s="108"/>
      <c r="C39" s="50"/>
      <c r="D39" s="51"/>
      <c r="E39" s="45"/>
      <c r="F39" s="98"/>
    </row>
    <row r="40" spans="1:7" ht="24.6" thickTop="1" thickBot="1" x14ac:dyDescent="0.35">
      <c r="A40" s="121"/>
      <c r="B40" s="108"/>
      <c r="C40" s="50"/>
      <c r="D40" s="51"/>
      <c r="E40" s="45"/>
      <c r="F40" s="98"/>
    </row>
    <row r="41" spans="1:7" ht="24.6" thickTop="1" thickBot="1" x14ac:dyDescent="0.35">
      <c r="A41" s="121"/>
      <c r="B41" s="108"/>
      <c r="C41" s="50"/>
      <c r="D41" s="51"/>
      <c r="E41" s="45"/>
      <c r="F41" s="98"/>
    </row>
    <row r="42" spans="1:7" ht="24.6" thickTop="1" thickBot="1" x14ac:dyDescent="0.35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1"/>
      <c r="B43" s="107"/>
      <c r="C43" s="59"/>
      <c r="D43" s="46"/>
      <c r="E43" s="46"/>
      <c r="F43" s="119" t="s">
        <v>52</v>
      </c>
    </row>
    <row r="44" spans="1:7" ht="24.6" thickTop="1" thickBot="1" x14ac:dyDescent="0.35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1"/>
      <c r="B46" s="106"/>
      <c r="C46" s="10"/>
      <c r="D46" s="43"/>
      <c r="E46" s="43">
        <f>'April 2027'!C17*(-1)</f>
        <v>0</v>
      </c>
      <c r="F46" s="86" t="s">
        <v>93</v>
      </c>
    </row>
    <row r="47" spans="1:7" ht="24.6" thickTop="1" thickBot="1" x14ac:dyDescent="0.35">
      <c r="A47" s="121"/>
      <c r="B47" s="108"/>
      <c r="C47" s="22"/>
      <c r="D47" s="49"/>
      <c r="E47" s="43"/>
      <c r="F47" s="98"/>
    </row>
    <row r="48" spans="1:7" ht="24.6" thickTop="1" thickBot="1" x14ac:dyDescent="0.35">
      <c r="A48" s="121"/>
      <c r="B48" s="108"/>
      <c r="C48" s="22"/>
      <c r="D48" s="49"/>
      <c r="E48" s="43"/>
      <c r="F48" s="86"/>
    </row>
    <row r="49" spans="1:9" ht="24.6" thickTop="1" thickBot="1" x14ac:dyDescent="0.35">
      <c r="A49" s="121"/>
      <c r="B49" s="108"/>
      <c r="C49" s="22"/>
      <c r="D49" s="49"/>
      <c r="E49" s="43"/>
      <c r="F49" s="98"/>
    </row>
    <row r="50" spans="1:9" ht="24.6" thickTop="1" thickBot="1" x14ac:dyDescent="0.35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1"/>
      <c r="B51" s="107"/>
      <c r="C51" s="57"/>
      <c r="D51" s="44"/>
      <c r="E51" s="44"/>
      <c r="F51" s="119" t="s">
        <v>52</v>
      </c>
      <c r="I51" s="34"/>
    </row>
    <row r="52" spans="1:9" ht="24.6" thickTop="1" thickBot="1" x14ac:dyDescent="0.35">
      <c r="A52" s="121"/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1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1"/>
      <c r="B55" s="106"/>
      <c r="C55" s="50"/>
      <c r="D55" s="45"/>
      <c r="E55" s="45">
        <f>'May 2027'!C17*(-1)</f>
        <v>0</v>
      </c>
      <c r="F55" s="86" t="s">
        <v>95</v>
      </c>
    </row>
    <row r="56" spans="1:9" ht="24.6" thickTop="1" thickBot="1" x14ac:dyDescent="0.35">
      <c r="A56" s="121"/>
      <c r="B56" s="108"/>
      <c r="C56" s="33"/>
      <c r="D56" s="51"/>
      <c r="E56" s="45"/>
      <c r="F56" s="86"/>
    </row>
    <row r="57" spans="1:9" ht="24.6" thickTop="1" thickBot="1" x14ac:dyDescent="0.35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1"/>
      <c r="B58" s="108"/>
      <c r="C58" s="58"/>
      <c r="D58" s="51"/>
      <c r="E58" s="51"/>
      <c r="F58" s="98"/>
    </row>
    <row r="59" spans="1:9" ht="24.6" thickTop="1" thickBot="1" x14ac:dyDescent="0.35">
      <c r="A59" s="121"/>
      <c r="B59" s="107"/>
      <c r="C59" s="114"/>
      <c r="D59" s="51"/>
      <c r="E59" s="46"/>
      <c r="F59" s="119" t="s">
        <v>52</v>
      </c>
    </row>
    <row r="60" spans="1:9" ht="24.6" thickTop="1" thickBot="1" x14ac:dyDescent="0.35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1"/>
      <c r="B62" s="106"/>
      <c r="C62" s="82"/>
      <c r="D62" s="78"/>
      <c r="E62" s="43">
        <f>'June 2027'!C17*(-1)</f>
        <v>0</v>
      </c>
      <c r="F62" s="86" t="s">
        <v>96</v>
      </c>
    </row>
    <row r="63" spans="1:9" ht="24.6" thickTop="1" thickBot="1" x14ac:dyDescent="0.35">
      <c r="A63" s="121"/>
      <c r="B63" s="108"/>
      <c r="C63" s="22"/>
      <c r="D63" s="49"/>
      <c r="E63" s="43"/>
      <c r="F63" s="86"/>
    </row>
    <row r="64" spans="1:9" ht="24.6" thickTop="1" thickBot="1" x14ac:dyDescent="0.35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1"/>
      <c r="B65" s="108"/>
      <c r="C65" s="56"/>
      <c r="D65" s="49"/>
      <c r="E65" s="49"/>
      <c r="F65" s="98"/>
    </row>
    <row r="66" spans="1:7" ht="24.6" thickTop="1" thickBot="1" x14ac:dyDescent="0.35">
      <c r="A66" s="121"/>
      <c r="B66" s="107"/>
      <c r="C66" s="57"/>
      <c r="D66" s="44"/>
      <c r="E66" s="44"/>
      <c r="F66" s="119" t="s">
        <v>52</v>
      </c>
    </row>
    <row r="67" spans="1:7" ht="24.6" thickTop="1" thickBot="1" x14ac:dyDescent="0.35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1"/>
      <c r="B69" s="106"/>
      <c r="C69" s="33"/>
      <c r="D69" s="45"/>
      <c r="E69" s="45">
        <f>'July 2027'!C17*(-1)</f>
        <v>0</v>
      </c>
      <c r="F69" s="86" t="s">
        <v>99</v>
      </c>
    </row>
    <row r="70" spans="1:7" ht="24.6" thickTop="1" thickBot="1" x14ac:dyDescent="0.35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1"/>
      <c r="B71" s="107"/>
      <c r="C71" s="111"/>
      <c r="D71" s="46"/>
      <c r="E71" s="46"/>
      <c r="F71" s="119" t="s">
        <v>52</v>
      </c>
    </row>
    <row r="72" spans="1:7" ht="24.6" thickTop="1" thickBot="1" x14ac:dyDescent="0.35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1"/>
      <c r="B73" s="118"/>
      <c r="C73" s="82"/>
      <c r="D73" s="78"/>
      <c r="E73" s="78"/>
      <c r="F73" s="96"/>
    </row>
    <row r="74" spans="1:7" ht="24.6" thickTop="1" thickBot="1" x14ac:dyDescent="0.35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1"/>
      <c r="B75" s="106"/>
      <c r="C75" s="10"/>
      <c r="D75" s="43"/>
      <c r="E75" s="43">
        <f>'August 2027'!C17*(-1)</f>
        <v>0</v>
      </c>
      <c r="F75" s="86" t="s">
        <v>100</v>
      </c>
    </row>
    <row r="76" spans="1:7" ht="24.6" thickTop="1" thickBot="1" x14ac:dyDescent="0.35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1"/>
      <c r="B77" s="107"/>
      <c r="C77" s="57"/>
      <c r="D77" s="44"/>
      <c r="E77" s="44"/>
      <c r="F77" s="119" t="s">
        <v>52</v>
      </c>
    </row>
    <row r="78" spans="1:7" ht="24.6" thickTop="1" thickBot="1" x14ac:dyDescent="0.35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1"/>
      <c r="B79" s="112"/>
      <c r="C79" s="87"/>
      <c r="D79" s="77"/>
      <c r="E79" s="77"/>
      <c r="F79" s="96"/>
    </row>
    <row r="80" spans="1:7" ht="24.6" thickTop="1" thickBot="1" x14ac:dyDescent="0.35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1"/>
      <c r="B81" s="106"/>
      <c r="C81" s="33"/>
      <c r="D81" s="45"/>
      <c r="E81" s="45">
        <f>'September 2027'!C17*(-1)</f>
        <v>0</v>
      </c>
      <c r="F81" s="86" t="s">
        <v>103</v>
      </c>
    </row>
    <row r="82" spans="1:7" ht="24.6" thickTop="1" thickBot="1" x14ac:dyDescent="0.35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5"/>
      <c r="B83" s="107"/>
      <c r="C83" s="111"/>
      <c r="D83" s="46"/>
      <c r="E83" s="46"/>
      <c r="F83" s="119" t="s">
        <v>52</v>
      </c>
    </row>
    <row r="84" spans="1:7" ht="24.6" thickTop="1" thickBot="1" x14ac:dyDescent="0.35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1"/>
      <c r="B85" s="110"/>
      <c r="C85" s="82"/>
      <c r="D85" s="78"/>
      <c r="E85" s="78"/>
      <c r="F85" s="96"/>
    </row>
    <row r="86" spans="1:7" ht="24.6" thickTop="1" thickBot="1" x14ac:dyDescent="0.35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1"/>
      <c r="B87" s="106"/>
      <c r="C87" s="10"/>
      <c r="D87" s="43"/>
      <c r="E87" s="43">
        <f>'October 2027'!C17*(-1)</f>
        <v>0</v>
      </c>
      <c r="F87" s="86" t="s">
        <v>105</v>
      </c>
    </row>
    <row r="88" spans="1:7" ht="24.6" thickTop="1" thickBot="1" x14ac:dyDescent="0.35">
      <c r="A88" s="121"/>
      <c r="B88" s="108"/>
      <c r="C88" s="22"/>
      <c r="D88" s="49"/>
      <c r="E88" s="43"/>
      <c r="F88" s="86"/>
    </row>
    <row r="89" spans="1:7" ht="24.6" thickTop="1" thickBot="1" x14ac:dyDescent="0.35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1"/>
      <c r="B90" s="107"/>
      <c r="C90" s="57"/>
      <c r="D90" s="44"/>
      <c r="E90" s="44"/>
      <c r="F90" s="119" t="s">
        <v>52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5116.3333333333339</v>
      </c>
      <c r="E96" s="62">
        <f>SUM(E6:E92)</f>
        <v>0</v>
      </c>
    </row>
    <row r="97" spans="3:3" ht="24" thickTop="1" x14ac:dyDescent="0.3">
      <c r="C97" s="48"/>
    </row>
    <row r="98" spans="3:3" x14ac:dyDescent="0.3">
      <c r="C98" s="48"/>
    </row>
  </sheetData>
  <mergeCells count="14">
    <mergeCell ref="A78:A83"/>
    <mergeCell ref="A84:A90"/>
    <mergeCell ref="A36:A43"/>
    <mergeCell ref="A44:A51"/>
    <mergeCell ref="A52:A59"/>
    <mergeCell ref="A60:A66"/>
    <mergeCell ref="A67:A71"/>
    <mergeCell ref="A72:A77"/>
    <mergeCell ref="A30:A35"/>
    <mergeCell ref="B1:F1"/>
    <mergeCell ref="A5:A10"/>
    <mergeCell ref="A11:A18"/>
    <mergeCell ref="A19:A23"/>
    <mergeCell ref="A24:A29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0"/>
  <sheetViews>
    <sheetView tabSelected="1" topLeftCell="A88" zoomScale="85" zoomScaleNormal="85" workbookViewId="0">
      <selection activeCell="C103" sqref="C103"/>
    </sheetView>
  </sheetViews>
  <sheetFormatPr defaultColWidth="9.109375" defaultRowHeight="23.4" x14ac:dyDescent="0.3"/>
  <cols>
    <col min="1" max="1" width="19.88671875" style="1" bestFit="1" customWidth="1"/>
    <col min="2" max="2" width="29.88671875" style="4" bestFit="1" customWidth="1"/>
    <col min="3" max="3" width="59.44140625" style="4" bestFit="1" customWidth="1"/>
    <col min="4" max="4" width="31.109375" style="4" bestFit="1" customWidth="1"/>
    <col min="5" max="5" width="31.88671875" style="48" bestFit="1" customWidth="1"/>
    <col min="6" max="6" width="45.88671875" style="4" bestFit="1" customWidth="1"/>
    <col min="7" max="7" width="10.77734375" style="4" bestFit="1" customWidth="1"/>
    <col min="8" max="8" width="12.5546875" style="1" bestFit="1" customWidth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8" x14ac:dyDescent="0.3">
      <c r="B1" s="122" t="s">
        <v>57</v>
      </c>
      <c r="C1" s="122"/>
      <c r="D1" s="122"/>
      <c r="E1" s="122"/>
      <c r="F1" s="122"/>
    </row>
    <row r="3" spans="1:8" x14ac:dyDescent="0.3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35">
      <c r="A4" s="52"/>
      <c r="B4" s="103"/>
      <c r="C4" s="35" t="s">
        <v>6</v>
      </c>
      <c r="D4" s="42"/>
      <c r="E4" s="99"/>
      <c r="F4" s="88"/>
    </row>
    <row r="5" spans="1:8" ht="24.6" thickTop="1" thickBot="1" x14ac:dyDescent="0.35">
      <c r="A5" s="123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6" thickTop="1" thickBot="1" x14ac:dyDescent="0.35">
      <c r="A6" s="124"/>
      <c r="B6" s="105"/>
      <c r="C6" s="79" t="s">
        <v>110</v>
      </c>
      <c r="D6" s="83">
        <v>-1899.39</v>
      </c>
      <c r="E6" s="43"/>
      <c r="F6" s="86"/>
      <c r="H6" s="29"/>
    </row>
    <row r="7" spans="1:8" ht="24.6" thickTop="1" thickBot="1" x14ac:dyDescent="0.35">
      <c r="A7" s="121"/>
      <c r="B7" s="118">
        <v>46292</v>
      </c>
      <c r="C7" s="84" t="s">
        <v>108</v>
      </c>
      <c r="D7" s="67">
        <v>-3217.61</v>
      </c>
      <c r="E7" s="100">
        <f>'October 2026'!C77</f>
        <v>0</v>
      </c>
      <c r="F7" s="86" t="s">
        <v>55</v>
      </c>
    </row>
    <row r="8" spans="1:8" ht="24.6" thickTop="1" thickBot="1" x14ac:dyDescent="0.35">
      <c r="A8" s="121"/>
      <c r="B8" s="106"/>
      <c r="C8" s="53"/>
      <c r="D8" s="43"/>
      <c r="E8" s="100">
        <f>'October 2026'!C60*(-1)</f>
        <v>0</v>
      </c>
      <c r="F8" s="86" t="s">
        <v>56</v>
      </c>
      <c r="H8" s="29"/>
    </row>
    <row r="9" spans="1:8" ht="24.6" thickTop="1" thickBot="1" x14ac:dyDescent="0.35">
      <c r="A9" s="121"/>
      <c r="B9" s="106"/>
      <c r="C9" s="53"/>
      <c r="D9" s="43"/>
      <c r="E9" s="101"/>
      <c r="F9" s="86"/>
      <c r="G9" s="102">
        <f>SUM(E6:E8)</f>
        <v>0</v>
      </c>
    </row>
    <row r="10" spans="1:8" ht="24.6" thickTop="1" thickBot="1" x14ac:dyDescent="0.35">
      <c r="A10" s="121"/>
      <c r="B10" s="107"/>
      <c r="C10" s="57"/>
      <c r="D10" s="85"/>
      <c r="E10" s="55"/>
      <c r="F10" s="90" t="s">
        <v>53</v>
      </c>
    </row>
    <row r="11" spans="1:8" ht="24.6" thickTop="1" thickBot="1" x14ac:dyDescent="0.35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6" thickTop="1" thickBot="1" x14ac:dyDescent="0.35">
      <c r="A12" s="121"/>
      <c r="B12" s="108"/>
      <c r="C12" s="33"/>
      <c r="D12" s="51"/>
      <c r="E12" s="51"/>
      <c r="F12" s="92"/>
    </row>
    <row r="13" spans="1:8" ht="24.6" thickTop="1" thickBot="1" x14ac:dyDescent="0.35">
      <c r="A13" s="121"/>
      <c r="B13" s="108"/>
      <c r="C13" s="33"/>
      <c r="D13" s="51"/>
      <c r="E13" s="51"/>
      <c r="F13" s="92"/>
    </row>
    <row r="14" spans="1:8" ht="24.6" thickTop="1" thickBot="1" x14ac:dyDescent="0.35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6" thickTop="1" thickBot="1" x14ac:dyDescent="0.35">
      <c r="A15" s="121"/>
      <c r="B15" s="106"/>
      <c r="C15" s="33"/>
      <c r="D15" s="45"/>
      <c r="E15" s="45">
        <f>'November 2026'!C60*(-1)</f>
        <v>0</v>
      </c>
      <c r="F15" s="86" t="s">
        <v>83</v>
      </c>
    </row>
    <row r="16" spans="1:8" ht="24.6" thickTop="1" thickBot="1" x14ac:dyDescent="0.35">
      <c r="A16" s="121"/>
      <c r="B16" s="108"/>
      <c r="C16" s="50"/>
      <c r="D16" s="51"/>
      <c r="E16" s="45"/>
      <c r="F16" s="86"/>
    </row>
    <row r="17" spans="1:11" ht="24.6" thickTop="1" thickBot="1" x14ac:dyDescent="0.35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6" thickTop="1" thickBot="1" x14ac:dyDescent="0.35">
      <c r="A18" s="121"/>
      <c r="B18" s="107"/>
      <c r="C18" s="59"/>
      <c r="D18" s="46"/>
      <c r="E18" s="46"/>
      <c r="F18" s="90" t="s">
        <v>53</v>
      </c>
    </row>
    <row r="19" spans="1:11" ht="24.6" thickTop="1" thickBot="1" x14ac:dyDescent="0.35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6" thickTop="1" thickBot="1" x14ac:dyDescent="0.35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6" thickTop="1" thickBot="1" x14ac:dyDescent="0.35">
      <c r="A21" s="121"/>
      <c r="B21" s="106"/>
      <c r="C21" s="10"/>
      <c r="D21" s="43"/>
      <c r="E21" s="43">
        <f>'December 2026'!C60*(-1)</f>
        <v>0</v>
      </c>
      <c r="F21" s="86" t="s">
        <v>85</v>
      </c>
    </row>
    <row r="22" spans="1:11" ht="24.6" thickTop="1" thickBot="1" x14ac:dyDescent="0.35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6" thickTop="1" thickBot="1" x14ac:dyDescent="0.35">
      <c r="A23" s="121"/>
      <c r="B23" s="107"/>
      <c r="C23" s="57"/>
      <c r="D23" s="44"/>
      <c r="E23" s="44"/>
      <c r="F23" s="90" t="s">
        <v>53</v>
      </c>
      <c r="J23" s="4"/>
      <c r="K23" s="4"/>
    </row>
    <row r="24" spans="1:11" ht="24.6" thickTop="1" thickBot="1" x14ac:dyDescent="0.35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6" thickTop="1" thickBot="1" x14ac:dyDescent="0.35">
      <c r="A25" s="121"/>
      <c r="B25" s="106"/>
      <c r="C25" s="33"/>
      <c r="D25" s="45"/>
      <c r="E25" s="77"/>
      <c r="F25" s="96"/>
      <c r="J25" s="4"/>
      <c r="K25" s="4"/>
    </row>
    <row r="26" spans="1:11" ht="24.6" thickTop="1" thickBot="1" x14ac:dyDescent="0.35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6" thickTop="1" thickBot="1" x14ac:dyDescent="0.35">
      <c r="A27" s="121"/>
      <c r="B27" s="106"/>
      <c r="C27" s="33"/>
      <c r="D27" s="45"/>
      <c r="E27" s="45">
        <f>'January 2027'!C60*(-1)</f>
        <v>0</v>
      </c>
      <c r="F27" s="86" t="s">
        <v>87</v>
      </c>
    </row>
    <row r="28" spans="1:11" ht="24.6" thickTop="1" thickBot="1" x14ac:dyDescent="0.35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6" thickTop="1" thickBot="1" x14ac:dyDescent="0.35">
      <c r="A29" s="121"/>
      <c r="B29" s="107"/>
      <c r="C29" s="59"/>
      <c r="D29" s="46"/>
      <c r="E29" s="46"/>
      <c r="F29" s="90" t="s">
        <v>53</v>
      </c>
    </row>
    <row r="30" spans="1:11" ht="24.6" thickTop="1" thickBot="1" x14ac:dyDescent="0.35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6" thickTop="1" thickBot="1" x14ac:dyDescent="0.35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6" thickTop="1" thickBot="1" x14ac:dyDescent="0.35">
      <c r="A32" s="121"/>
      <c r="B32" s="106"/>
      <c r="C32" s="10"/>
      <c r="D32" s="43"/>
      <c r="E32" s="43">
        <f>'February 2027'!C60*(-1)</f>
        <v>0</v>
      </c>
      <c r="F32" s="86" t="s">
        <v>89</v>
      </c>
    </row>
    <row r="33" spans="1:7" ht="24.6" thickTop="1" thickBot="1" x14ac:dyDescent="0.35">
      <c r="A33" s="121"/>
      <c r="B33" s="108"/>
      <c r="C33" s="22"/>
      <c r="D33" s="49"/>
      <c r="E33" s="43"/>
      <c r="F33" s="86"/>
    </row>
    <row r="34" spans="1:7" ht="24.6" thickTop="1" thickBot="1" x14ac:dyDescent="0.35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6" thickTop="1" thickBot="1" x14ac:dyDescent="0.35">
      <c r="A35" s="121"/>
      <c r="B35" s="107"/>
      <c r="C35" s="56"/>
      <c r="D35" s="44"/>
      <c r="E35" s="44"/>
      <c r="F35" s="90" t="s">
        <v>53</v>
      </c>
    </row>
    <row r="36" spans="1:7" ht="24.6" thickTop="1" thickBot="1" x14ac:dyDescent="0.35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6" thickTop="1" thickBot="1" x14ac:dyDescent="0.35">
      <c r="A37" s="121"/>
      <c r="B37" s="106"/>
      <c r="C37" s="33"/>
      <c r="D37" s="45"/>
      <c r="E37" s="45">
        <f>'March 2027'!C60*(-1)</f>
        <v>0</v>
      </c>
      <c r="F37" s="86" t="s">
        <v>91</v>
      </c>
    </row>
    <row r="38" spans="1:7" ht="24.6" thickTop="1" thickBot="1" x14ac:dyDescent="0.35">
      <c r="A38" s="121"/>
      <c r="B38" s="108"/>
      <c r="C38" s="50"/>
      <c r="D38" s="51"/>
      <c r="E38" s="45"/>
      <c r="F38" s="98"/>
    </row>
    <row r="39" spans="1:7" ht="24.6" thickTop="1" thickBot="1" x14ac:dyDescent="0.35">
      <c r="A39" s="121"/>
      <c r="B39" s="108"/>
      <c r="C39" s="50"/>
      <c r="D39" s="51"/>
      <c r="E39" s="45"/>
      <c r="F39" s="98"/>
    </row>
    <row r="40" spans="1:7" ht="24.6" thickTop="1" thickBot="1" x14ac:dyDescent="0.35">
      <c r="A40" s="121"/>
      <c r="B40" s="108"/>
      <c r="C40" s="50"/>
      <c r="D40" s="51"/>
      <c r="E40" s="45"/>
      <c r="F40" s="98"/>
    </row>
    <row r="41" spans="1:7" ht="24.6" thickTop="1" thickBot="1" x14ac:dyDescent="0.35">
      <c r="A41" s="121"/>
      <c r="B41" s="108"/>
      <c r="C41" s="50"/>
      <c r="D41" s="51"/>
      <c r="E41" s="45"/>
      <c r="F41" s="98"/>
    </row>
    <row r="42" spans="1:7" ht="24.6" thickTop="1" thickBot="1" x14ac:dyDescent="0.35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6" thickTop="1" thickBot="1" x14ac:dyDescent="0.35">
      <c r="A43" s="121"/>
      <c r="B43" s="107"/>
      <c r="C43" s="59"/>
      <c r="D43" s="46"/>
      <c r="E43" s="46"/>
      <c r="F43" s="90" t="s">
        <v>53</v>
      </c>
    </row>
    <row r="44" spans="1:7" ht="24.6" thickTop="1" thickBot="1" x14ac:dyDescent="0.35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6" thickTop="1" thickBot="1" x14ac:dyDescent="0.35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6" thickTop="1" thickBot="1" x14ac:dyDescent="0.35">
      <c r="A46" s="121"/>
      <c r="B46" s="106"/>
      <c r="C46" s="10"/>
      <c r="D46" s="43"/>
      <c r="E46" s="43">
        <f>'April 2027'!C60*(-1)</f>
        <v>0</v>
      </c>
      <c r="F46" s="86" t="s">
        <v>93</v>
      </c>
    </row>
    <row r="47" spans="1:7" ht="24.6" thickTop="1" thickBot="1" x14ac:dyDescent="0.35">
      <c r="A47" s="121"/>
      <c r="B47" s="108"/>
      <c r="C47" s="22"/>
      <c r="D47" s="49"/>
      <c r="E47" s="43"/>
      <c r="F47" s="98"/>
    </row>
    <row r="48" spans="1:7" ht="24.6" thickTop="1" thickBot="1" x14ac:dyDescent="0.35">
      <c r="A48" s="121"/>
      <c r="B48" s="108"/>
      <c r="C48" s="22"/>
      <c r="D48" s="49"/>
      <c r="E48" s="43"/>
      <c r="F48" s="86"/>
    </row>
    <row r="49" spans="1:9" ht="24.6" thickTop="1" thickBot="1" x14ac:dyDescent="0.35">
      <c r="A49" s="121"/>
      <c r="B49" s="108"/>
      <c r="C49" s="22"/>
      <c r="D49" s="49"/>
      <c r="E49" s="43"/>
      <c r="F49" s="98"/>
    </row>
    <row r="50" spans="1:9" ht="24.6" thickTop="1" thickBot="1" x14ac:dyDescent="0.35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6" thickTop="1" thickBot="1" x14ac:dyDescent="0.35">
      <c r="A51" s="121"/>
      <c r="B51" s="107"/>
      <c r="C51" s="57"/>
      <c r="D51" s="44"/>
      <c r="E51" s="44"/>
      <c r="F51" s="90" t="s">
        <v>53</v>
      </c>
      <c r="I51" s="34"/>
    </row>
    <row r="52" spans="1:9" ht="24.6" thickTop="1" thickBot="1" x14ac:dyDescent="0.35">
      <c r="A52" s="121" t="s">
        <v>109</v>
      </c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6" thickTop="1" thickBot="1" x14ac:dyDescent="0.35">
      <c r="A53" s="121"/>
      <c r="B53" s="106"/>
      <c r="C53" s="33"/>
      <c r="D53" s="45"/>
      <c r="E53" s="77"/>
      <c r="F53" s="96"/>
      <c r="I53" s="34"/>
    </row>
    <row r="54" spans="1:9" ht="24.6" thickTop="1" thickBot="1" x14ac:dyDescent="0.35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6" thickTop="1" thickBot="1" x14ac:dyDescent="0.35">
      <c r="A55" s="121"/>
      <c r="B55" s="106"/>
      <c r="C55" s="50"/>
      <c r="D55" s="45"/>
      <c r="E55" s="45">
        <f>'May 2027'!C60*(-1)</f>
        <v>0</v>
      </c>
      <c r="F55" s="86" t="s">
        <v>95</v>
      </c>
    </row>
    <row r="56" spans="1:9" ht="24.6" thickTop="1" thickBot="1" x14ac:dyDescent="0.35">
      <c r="A56" s="121"/>
      <c r="B56" s="108"/>
      <c r="C56" s="33"/>
      <c r="D56" s="51"/>
      <c r="E56" s="45"/>
      <c r="F56" s="86"/>
    </row>
    <row r="57" spans="1:9" ht="24.6" thickTop="1" thickBot="1" x14ac:dyDescent="0.35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6" thickTop="1" thickBot="1" x14ac:dyDescent="0.35">
      <c r="A58" s="121"/>
      <c r="B58" s="108"/>
      <c r="C58" s="58"/>
      <c r="D58" s="51"/>
      <c r="E58" s="51"/>
      <c r="F58" s="98"/>
    </row>
    <row r="59" spans="1:9" ht="24.6" thickTop="1" thickBot="1" x14ac:dyDescent="0.35">
      <c r="A59" s="121"/>
      <c r="B59" s="107"/>
      <c r="C59" s="114"/>
      <c r="D59" s="51"/>
      <c r="E59" s="46"/>
      <c r="F59" s="90" t="s">
        <v>53</v>
      </c>
    </row>
    <row r="60" spans="1:9" ht="24.6" thickTop="1" thickBot="1" x14ac:dyDescent="0.35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6" thickTop="1" thickBot="1" x14ac:dyDescent="0.35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6" thickTop="1" thickBot="1" x14ac:dyDescent="0.35">
      <c r="A62" s="121"/>
      <c r="B62" s="106"/>
      <c r="C62" s="82"/>
      <c r="D62" s="78"/>
      <c r="E62" s="43">
        <f>'June 2027'!C60*(-1)</f>
        <v>0</v>
      </c>
      <c r="F62" s="86" t="s">
        <v>96</v>
      </c>
    </row>
    <row r="63" spans="1:9" ht="24.6" thickTop="1" thickBot="1" x14ac:dyDescent="0.35">
      <c r="A63" s="121"/>
      <c r="B63" s="108"/>
      <c r="C63" s="22"/>
      <c r="D63" s="49"/>
      <c r="E63" s="43"/>
      <c r="F63" s="86"/>
    </row>
    <row r="64" spans="1:9" ht="24.6" thickTop="1" thickBot="1" x14ac:dyDescent="0.35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6" thickTop="1" thickBot="1" x14ac:dyDescent="0.35">
      <c r="A65" s="121"/>
      <c r="B65" s="108"/>
      <c r="C65" s="56"/>
      <c r="D65" s="49"/>
      <c r="E65" s="49"/>
      <c r="F65" s="98"/>
    </row>
    <row r="66" spans="1:7" ht="24.6" thickTop="1" thickBot="1" x14ac:dyDescent="0.35">
      <c r="A66" s="121"/>
      <c r="B66" s="107"/>
      <c r="C66" s="57"/>
      <c r="D66" s="44"/>
      <c r="E66" s="44"/>
      <c r="F66" s="90" t="s">
        <v>53</v>
      </c>
    </row>
    <row r="67" spans="1:7" ht="24.6" thickTop="1" thickBot="1" x14ac:dyDescent="0.35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6" thickTop="1" thickBot="1" x14ac:dyDescent="0.35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6" thickTop="1" thickBot="1" x14ac:dyDescent="0.35">
      <c r="A69" s="121"/>
      <c r="B69" s="106"/>
      <c r="C69" s="33"/>
      <c r="D69" s="45"/>
      <c r="E69" s="45">
        <f>'July 2027'!C60*(-1)</f>
        <v>0</v>
      </c>
      <c r="F69" s="86" t="s">
        <v>99</v>
      </c>
    </row>
    <row r="70" spans="1:7" ht="24.6" thickTop="1" thickBot="1" x14ac:dyDescent="0.35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6" thickTop="1" thickBot="1" x14ac:dyDescent="0.35">
      <c r="A71" s="121"/>
      <c r="B71" s="107"/>
      <c r="C71" s="111"/>
      <c r="D71" s="46"/>
      <c r="E71" s="46"/>
      <c r="F71" s="90" t="s">
        <v>53</v>
      </c>
    </row>
    <row r="72" spans="1:7" ht="24.6" thickTop="1" thickBot="1" x14ac:dyDescent="0.35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6" thickTop="1" thickBot="1" x14ac:dyDescent="0.35">
      <c r="A73" s="121"/>
      <c r="B73" s="118"/>
      <c r="C73" s="82"/>
      <c r="D73" s="78"/>
      <c r="E73" s="78"/>
      <c r="F73" s="96"/>
    </row>
    <row r="74" spans="1:7" ht="24.6" thickTop="1" thickBot="1" x14ac:dyDescent="0.35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6" thickTop="1" thickBot="1" x14ac:dyDescent="0.35">
      <c r="A75" s="121"/>
      <c r="B75" s="106"/>
      <c r="C75" s="10"/>
      <c r="D75" s="43"/>
      <c r="E75" s="43">
        <f>'August 2027'!C60*(-1)</f>
        <v>0</v>
      </c>
      <c r="F75" s="86" t="s">
        <v>100</v>
      </c>
    </row>
    <row r="76" spans="1:7" ht="24.6" thickTop="1" thickBot="1" x14ac:dyDescent="0.35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6" thickTop="1" thickBot="1" x14ac:dyDescent="0.35">
      <c r="A77" s="121"/>
      <c r="B77" s="107"/>
      <c r="C77" s="57"/>
      <c r="D77" s="44"/>
      <c r="E77" s="44"/>
      <c r="F77" s="90" t="s">
        <v>53</v>
      </c>
    </row>
    <row r="78" spans="1:7" ht="24.6" thickTop="1" thickBot="1" x14ac:dyDescent="0.35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6" thickTop="1" thickBot="1" x14ac:dyDescent="0.35">
      <c r="A79" s="121"/>
      <c r="B79" s="112"/>
      <c r="C79" s="87"/>
      <c r="D79" s="77"/>
      <c r="E79" s="77"/>
      <c r="F79" s="96"/>
    </row>
    <row r="80" spans="1:7" ht="24.6" thickTop="1" thickBot="1" x14ac:dyDescent="0.35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6" thickTop="1" thickBot="1" x14ac:dyDescent="0.35">
      <c r="A81" s="121"/>
      <c r="B81" s="106"/>
      <c r="C81" s="33"/>
      <c r="D81" s="45"/>
      <c r="E81" s="45">
        <f>'September 2027'!C60*(-1)</f>
        <v>0</v>
      </c>
      <c r="F81" s="86" t="s">
        <v>103</v>
      </c>
    </row>
    <row r="82" spans="1:7" ht="24.6" thickTop="1" thickBot="1" x14ac:dyDescent="0.35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6" thickTop="1" thickBot="1" x14ac:dyDescent="0.35">
      <c r="A83" s="125"/>
      <c r="B83" s="107"/>
      <c r="C83" s="111"/>
      <c r="D83" s="46"/>
      <c r="E83" s="46"/>
      <c r="F83" s="90" t="s">
        <v>53</v>
      </c>
    </row>
    <row r="84" spans="1:7" ht="24.6" thickTop="1" thickBot="1" x14ac:dyDescent="0.35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6" thickTop="1" thickBot="1" x14ac:dyDescent="0.35">
      <c r="A85" s="121"/>
      <c r="B85" s="110"/>
      <c r="C85" s="82"/>
      <c r="D85" s="78"/>
      <c r="E85" s="78"/>
      <c r="F85" s="96"/>
    </row>
    <row r="86" spans="1:7" ht="24.6" thickTop="1" thickBot="1" x14ac:dyDescent="0.35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6" thickTop="1" thickBot="1" x14ac:dyDescent="0.35">
      <c r="A87" s="121"/>
      <c r="B87" s="106"/>
      <c r="C87" s="10"/>
      <c r="D87" s="43"/>
      <c r="E87" s="43">
        <f>'October 2027'!C60*(-1)</f>
        <v>0</v>
      </c>
      <c r="F87" s="86" t="s">
        <v>105</v>
      </c>
    </row>
    <row r="88" spans="1:7" ht="24.6" thickTop="1" thickBot="1" x14ac:dyDescent="0.35">
      <c r="A88" s="121"/>
      <c r="B88" s="108"/>
      <c r="C88" s="22"/>
      <c r="D88" s="49"/>
      <c r="E88" s="43"/>
      <c r="F88" s="86"/>
    </row>
    <row r="89" spans="1:7" ht="24.6" thickTop="1" thickBot="1" x14ac:dyDescent="0.35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6" thickTop="1" thickBot="1" x14ac:dyDescent="0.35">
      <c r="A90" s="121"/>
      <c r="B90" s="107"/>
      <c r="C90" s="57"/>
      <c r="D90" s="44"/>
      <c r="E90" s="44"/>
      <c r="F90" s="90" t="s">
        <v>53</v>
      </c>
    </row>
    <row r="91" spans="1:7" ht="24" thickTop="1" x14ac:dyDescent="0.3">
      <c r="D91" s="48"/>
    </row>
    <row r="92" spans="1:7" x14ac:dyDescent="0.3">
      <c r="D92" s="48"/>
    </row>
    <row r="93" spans="1:7" x14ac:dyDescent="0.3">
      <c r="D93" s="48"/>
    </row>
    <row r="94" spans="1:7" ht="24" thickBot="1" x14ac:dyDescent="0.35">
      <c r="D94" s="48"/>
    </row>
    <row r="95" spans="1:7" ht="48" thickTop="1" thickBot="1" x14ac:dyDescent="0.35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6" thickTop="1" thickBot="1" x14ac:dyDescent="0.5">
      <c r="A96" s="80" t="s">
        <v>44</v>
      </c>
      <c r="B96" s="81">
        <v>46673</v>
      </c>
      <c r="C96" s="6"/>
      <c r="D96" s="62">
        <f>SUM(D5:D92)</f>
        <v>5116.3333333333321</v>
      </c>
      <c r="E96" s="62">
        <f>SUM(E6:E92)</f>
        <v>0</v>
      </c>
    </row>
    <row r="97" spans="3:3" ht="24" thickTop="1" x14ac:dyDescent="0.3">
      <c r="C97" s="48"/>
    </row>
    <row r="98" spans="3:3" x14ac:dyDescent="0.3">
      <c r="C98" s="48"/>
    </row>
    <row r="99" spans="3:3" x14ac:dyDescent="0.3">
      <c r="C99" s="48"/>
    </row>
    <row r="100" spans="3:3" x14ac:dyDescent="0.3">
      <c r="C100" s="48"/>
    </row>
  </sheetData>
  <mergeCells count="14">
    <mergeCell ref="A84:A90"/>
    <mergeCell ref="B1:F1"/>
    <mergeCell ref="A5:A10"/>
    <mergeCell ref="A11:A18"/>
    <mergeCell ref="A19:A23"/>
    <mergeCell ref="A24:A29"/>
    <mergeCell ref="A67:A71"/>
    <mergeCell ref="A72:A77"/>
    <mergeCell ref="A78:A83"/>
    <mergeCell ref="A30:A35"/>
    <mergeCell ref="A36:A43"/>
    <mergeCell ref="A44:A51"/>
    <mergeCell ref="A52:A59"/>
    <mergeCell ref="A60:A66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A6" workbookViewId="0">
      <selection activeCell="D17" sqref="D17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20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21</v>
      </c>
    </row>
    <row r="4" spans="1:4" ht="23.4" x14ac:dyDescent="0.3">
      <c r="A4" s="3" t="s">
        <v>1</v>
      </c>
      <c r="B4" s="5" t="s">
        <v>2</v>
      </c>
      <c r="C4" s="24" t="s">
        <v>3</v>
      </c>
      <c r="D4" s="2" t="s">
        <v>22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46308</v>
      </c>
      <c r="B6" s="40" t="s">
        <v>80</v>
      </c>
      <c r="C6" s="25">
        <v>30700</v>
      </c>
      <c r="D6" s="2" t="s">
        <v>54</v>
      </c>
    </row>
    <row r="7" spans="1:4" ht="23.4" x14ac:dyDescent="0.3">
      <c r="A7" s="3"/>
      <c r="B7" s="10"/>
      <c r="C7" s="25"/>
      <c r="D7" s="2"/>
    </row>
    <row r="8" spans="1:4" ht="23.4" x14ac:dyDescent="0.3">
      <c r="A8" s="3"/>
      <c r="B8" s="10"/>
      <c r="C8" s="25"/>
      <c r="D8" s="2"/>
    </row>
    <row r="9" spans="1:4" ht="23.4" x14ac:dyDescent="0.3">
      <c r="A9" s="3"/>
      <c r="B9" s="10"/>
      <c r="C9" s="25"/>
      <c r="D9" s="2"/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41</v>
      </c>
      <c r="C13" s="25">
        <f>SUM(C5:C12)</f>
        <v>30700</v>
      </c>
      <c r="D13" s="2"/>
    </row>
    <row r="15" spans="1:4" ht="23.4" x14ac:dyDescent="0.3">
      <c r="B15" s="10" t="s">
        <v>42</v>
      </c>
      <c r="C15" s="25">
        <f>C13/12</f>
        <v>2558.3333333333335</v>
      </c>
    </row>
    <row r="16" spans="1:4" ht="23.4" x14ac:dyDescent="0.3">
      <c r="B16" s="10" t="s">
        <v>46</v>
      </c>
      <c r="C16" s="25">
        <f>C13/365</f>
        <v>84.109589041095887</v>
      </c>
    </row>
    <row r="17" spans="2:3" ht="23.4" x14ac:dyDescent="0.3">
      <c r="B17" s="10" t="s">
        <v>45</v>
      </c>
      <c r="C17" s="71">
        <f>C16/3</f>
        <v>28.036529680365295</v>
      </c>
    </row>
    <row r="18" spans="2:3" ht="23.4" x14ac:dyDescent="0.3">
      <c r="B18" s="10" t="s">
        <v>47</v>
      </c>
      <c r="C18" s="71">
        <f>C16/4</f>
        <v>21.027397260273972</v>
      </c>
    </row>
    <row r="19" spans="2:3" ht="23.4" x14ac:dyDescent="0.3">
      <c r="B19" s="10" t="s">
        <v>43</v>
      </c>
      <c r="C19" s="27">
        <f>C15/3</f>
        <v>852.77777777777783</v>
      </c>
    </row>
    <row r="27" spans="2:3" ht="23.4" x14ac:dyDescent="0.3">
      <c r="B27" s="23" t="s">
        <v>24</v>
      </c>
      <c r="C27" s="27">
        <f>C13/3</f>
        <v>10233.333333333334</v>
      </c>
    </row>
    <row r="34" spans="2:2" x14ac:dyDescent="0.3">
      <c r="B34" s="7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G48"/>
  <sheetViews>
    <sheetView topLeftCell="A16" zoomScaleNormal="60" zoomScaleSheetLayoutView="100" workbookViewId="0">
      <selection activeCell="B28" sqref="B28"/>
    </sheetView>
  </sheetViews>
  <sheetFormatPr defaultColWidth="8.77734375" defaultRowHeight="25.8" x14ac:dyDescent="0.3"/>
  <cols>
    <col min="1" max="1" width="8.77734375" style="73"/>
    <col min="2" max="2" width="56.6640625" style="73" bestFit="1" customWidth="1"/>
    <col min="3" max="3" width="13" style="73" bestFit="1" customWidth="1"/>
    <col min="4" max="4" width="47.5546875" style="73" bestFit="1" customWidth="1"/>
    <col min="5" max="5" width="25.109375" style="73" bestFit="1" customWidth="1"/>
    <col min="6" max="6" width="13.88671875" style="73" bestFit="1" customWidth="1"/>
    <col min="7" max="7" width="19.21875" style="73" bestFit="1" customWidth="1"/>
    <col min="8" max="16384" width="8.77734375" style="73"/>
  </cols>
  <sheetData>
    <row r="4" spans="2:4" x14ac:dyDescent="0.3">
      <c r="B4" s="72" t="s">
        <v>48</v>
      </c>
      <c r="C4" s="72" t="s">
        <v>49</v>
      </c>
      <c r="D4" s="72" t="s">
        <v>62</v>
      </c>
    </row>
    <row r="5" spans="2:4" x14ac:dyDescent="0.3">
      <c r="B5" s="74">
        <v>46296</v>
      </c>
      <c r="C5" s="72">
        <v>18</v>
      </c>
      <c r="D5" s="75">
        <f>$C$24*C5</f>
        <v>504.65753424657532</v>
      </c>
    </row>
    <row r="6" spans="2:4" x14ac:dyDescent="0.3">
      <c r="B6" s="74">
        <v>46327</v>
      </c>
      <c r="C6" s="72">
        <v>30</v>
      </c>
      <c r="D6" s="75">
        <f t="shared" ref="D6:D21" si="0">$C$24*C6</f>
        <v>841.09589041095887</v>
      </c>
    </row>
    <row r="7" spans="2:4" x14ac:dyDescent="0.3">
      <c r="B7" s="74">
        <v>46357</v>
      </c>
      <c r="C7" s="72">
        <v>31</v>
      </c>
      <c r="D7" s="75">
        <f t="shared" si="0"/>
        <v>869.13242009132409</v>
      </c>
    </row>
    <row r="8" spans="2:4" x14ac:dyDescent="0.3">
      <c r="B8" s="74">
        <v>46388</v>
      </c>
      <c r="C8" s="72">
        <v>31</v>
      </c>
      <c r="D8" s="75">
        <f t="shared" si="0"/>
        <v>869.13242009132409</v>
      </c>
    </row>
    <row r="9" spans="2:4" x14ac:dyDescent="0.3">
      <c r="B9" s="74">
        <v>46419</v>
      </c>
      <c r="C9" s="72">
        <v>28</v>
      </c>
      <c r="D9" s="75">
        <f t="shared" si="0"/>
        <v>785.02283105022821</v>
      </c>
    </row>
    <row r="10" spans="2:4" x14ac:dyDescent="0.3">
      <c r="B10" s="74">
        <v>46447</v>
      </c>
      <c r="C10" s="72">
        <v>31</v>
      </c>
      <c r="D10" s="75">
        <f t="shared" si="0"/>
        <v>869.13242009132409</v>
      </c>
    </row>
    <row r="11" spans="2:4" x14ac:dyDescent="0.3">
      <c r="B11" s="74">
        <v>46478</v>
      </c>
      <c r="C11" s="72">
        <v>30</v>
      </c>
      <c r="D11" s="75">
        <f t="shared" si="0"/>
        <v>841.09589041095887</v>
      </c>
    </row>
    <row r="12" spans="2:4" x14ac:dyDescent="0.3">
      <c r="B12" s="74">
        <v>46508</v>
      </c>
      <c r="C12" s="72">
        <v>31</v>
      </c>
      <c r="D12" s="75">
        <f t="shared" si="0"/>
        <v>869.13242009132409</v>
      </c>
    </row>
    <row r="13" spans="2:4" x14ac:dyDescent="0.3">
      <c r="B13" s="74">
        <v>46539</v>
      </c>
      <c r="C13" s="72">
        <v>30</v>
      </c>
      <c r="D13" s="75">
        <f t="shared" si="0"/>
        <v>841.09589041095887</v>
      </c>
    </row>
    <row r="14" spans="2:4" x14ac:dyDescent="0.3">
      <c r="B14" s="74">
        <v>46569</v>
      </c>
      <c r="C14" s="72">
        <v>31</v>
      </c>
      <c r="D14" s="75">
        <f t="shared" si="0"/>
        <v>869.13242009132409</v>
      </c>
    </row>
    <row r="15" spans="2:4" x14ac:dyDescent="0.3">
      <c r="B15" s="74">
        <v>46600</v>
      </c>
      <c r="C15" s="72">
        <v>31</v>
      </c>
      <c r="D15" s="75">
        <f t="shared" si="0"/>
        <v>869.13242009132409</v>
      </c>
    </row>
    <row r="16" spans="2:4" x14ac:dyDescent="0.3">
      <c r="B16" s="74">
        <v>46631</v>
      </c>
      <c r="C16" s="72">
        <v>30</v>
      </c>
      <c r="D16" s="75">
        <f t="shared" si="0"/>
        <v>841.09589041095887</v>
      </c>
    </row>
    <row r="17" spans="2:7" x14ac:dyDescent="0.3">
      <c r="B17" s="74">
        <v>46661</v>
      </c>
      <c r="C17" s="72">
        <v>13</v>
      </c>
      <c r="D17" s="75">
        <f t="shared" si="0"/>
        <v>364.47488584474883</v>
      </c>
    </row>
    <row r="18" spans="2:7" x14ac:dyDescent="0.3">
      <c r="B18" s="72"/>
      <c r="C18" s="72"/>
      <c r="D18" s="75"/>
    </row>
    <row r="19" spans="2:7" x14ac:dyDescent="0.3">
      <c r="B19" s="72"/>
      <c r="C19" s="72"/>
      <c r="D19" s="75"/>
    </row>
    <row r="20" spans="2:7" x14ac:dyDescent="0.3">
      <c r="B20" s="72"/>
      <c r="C20" s="72"/>
      <c r="D20" s="75"/>
    </row>
    <row r="21" spans="2:7" x14ac:dyDescent="0.3">
      <c r="B21" s="72" t="s">
        <v>23</v>
      </c>
      <c r="C21" s="72">
        <f>SUM(C5:C19)</f>
        <v>365</v>
      </c>
      <c r="D21" s="75">
        <f t="shared" si="0"/>
        <v>10233.333333333332</v>
      </c>
    </row>
    <row r="23" spans="2:7" x14ac:dyDescent="0.3">
      <c r="E23" s="76">
        <f>D21*3</f>
        <v>30699.999999999996</v>
      </c>
      <c r="F23" s="76"/>
    </row>
    <row r="24" spans="2:7" x14ac:dyDescent="0.3">
      <c r="B24" s="10" t="s">
        <v>45</v>
      </c>
      <c r="C24" s="71">
        <f>'Main Expenses (Fixed)'!C17</f>
        <v>28.036529680365295</v>
      </c>
    </row>
    <row r="25" spans="2:7" x14ac:dyDescent="0.3">
      <c r="B25" s="10" t="s">
        <v>47</v>
      </c>
      <c r="C25" s="71">
        <f>'Main Expenses (Fixed)'!C18</f>
        <v>21.027397260273972</v>
      </c>
    </row>
    <row r="26" spans="2:7" x14ac:dyDescent="0.3">
      <c r="B26" s="10" t="s">
        <v>51</v>
      </c>
      <c r="C26" s="25">
        <f>'Main Expenses (Fixed)'!C16</f>
        <v>84.109589041095887</v>
      </c>
    </row>
    <row r="30" spans="2:7" x14ac:dyDescent="0.3">
      <c r="D30" s="5" t="s">
        <v>64</v>
      </c>
      <c r="E30" s="5" t="s">
        <v>52</v>
      </c>
      <c r="F30" s="5" t="s">
        <v>63</v>
      </c>
      <c r="G30" s="5" t="s">
        <v>77</v>
      </c>
    </row>
    <row r="31" spans="2:7" x14ac:dyDescent="0.3">
      <c r="D31" s="5" t="s">
        <v>65</v>
      </c>
      <c r="E31" s="61"/>
      <c r="F31" s="61"/>
      <c r="G31" s="61"/>
    </row>
    <row r="32" spans="2:7" x14ac:dyDescent="0.3">
      <c r="D32" s="5" t="s">
        <v>66</v>
      </c>
      <c r="E32" s="61"/>
      <c r="F32" s="61"/>
      <c r="G32" s="61"/>
    </row>
    <row r="33" spans="4:7" x14ac:dyDescent="0.3">
      <c r="D33" s="5" t="s">
        <v>67</v>
      </c>
      <c r="E33" s="61"/>
      <c r="F33" s="61"/>
      <c r="G33" s="61"/>
    </row>
    <row r="34" spans="4:7" x14ac:dyDescent="0.3">
      <c r="D34" s="5" t="s">
        <v>68</v>
      </c>
      <c r="E34" s="61"/>
      <c r="F34" s="61"/>
      <c r="G34" s="61"/>
    </row>
    <row r="35" spans="4:7" x14ac:dyDescent="0.3">
      <c r="D35" s="5" t="s">
        <v>69</v>
      </c>
      <c r="E35" s="61"/>
      <c r="F35" s="61"/>
      <c r="G35" s="61"/>
    </row>
    <row r="36" spans="4:7" x14ac:dyDescent="0.3">
      <c r="D36" s="5" t="s">
        <v>70</v>
      </c>
      <c r="E36" s="61"/>
      <c r="F36" s="61"/>
      <c r="G36" s="61"/>
    </row>
    <row r="37" spans="4:7" x14ac:dyDescent="0.3">
      <c r="D37" s="5" t="s">
        <v>71</v>
      </c>
      <c r="E37" s="61"/>
      <c r="F37" s="61"/>
      <c r="G37" s="61"/>
    </row>
    <row r="38" spans="4:7" x14ac:dyDescent="0.3">
      <c r="D38" s="60" t="s">
        <v>72</v>
      </c>
      <c r="E38" s="61"/>
      <c r="F38" s="61"/>
      <c r="G38" s="61"/>
    </row>
    <row r="39" spans="4:7" x14ac:dyDescent="0.3">
      <c r="D39" s="5" t="s">
        <v>73</v>
      </c>
      <c r="E39" s="61"/>
      <c r="F39" s="61"/>
      <c r="G39" s="61"/>
    </row>
    <row r="40" spans="4:7" x14ac:dyDescent="0.3">
      <c r="D40" s="5" t="s">
        <v>74</v>
      </c>
      <c r="E40" s="61"/>
      <c r="F40" s="61"/>
      <c r="G40" s="61"/>
    </row>
    <row r="41" spans="4:7" x14ac:dyDescent="0.3">
      <c r="D41" s="5" t="s">
        <v>75</v>
      </c>
      <c r="E41" s="61"/>
      <c r="F41" s="61"/>
      <c r="G41" s="61"/>
    </row>
    <row r="42" spans="4:7" x14ac:dyDescent="0.3">
      <c r="D42" s="5" t="s">
        <v>76</v>
      </c>
      <c r="E42" s="61"/>
      <c r="F42" s="61"/>
      <c r="G42" s="61"/>
    </row>
    <row r="43" spans="4:7" x14ac:dyDescent="0.3">
      <c r="D43" s="5" t="s">
        <v>65</v>
      </c>
      <c r="E43" s="61"/>
      <c r="F43" s="61"/>
      <c r="G43" s="61"/>
    </row>
    <row r="44" spans="4:7" x14ac:dyDescent="0.3">
      <c r="D44" s="4"/>
      <c r="E44" s="4"/>
      <c r="F44" s="4"/>
      <c r="G44" s="4"/>
    </row>
    <row r="45" spans="4:7" x14ac:dyDescent="0.3">
      <c r="D45" s="32" t="s">
        <v>23</v>
      </c>
      <c r="E45" s="115">
        <f>SUM(E31:E44)</f>
        <v>0</v>
      </c>
      <c r="F45" s="115">
        <f>E45</f>
        <v>0</v>
      </c>
      <c r="G45" s="115">
        <f>E45</f>
        <v>0</v>
      </c>
    </row>
    <row r="48" spans="4:7" x14ac:dyDescent="0.3">
      <c r="G48" s="116" t="s">
        <v>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77"/>
  <sheetViews>
    <sheetView topLeftCell="A59" workbookViewId="0">
      <selection activeCell="D74" sqref="D7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65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 t="s">
        <v>54</v>
      </c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SUBTOTAL(109,C25:C39)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5"/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sortState xmlns:xlrd2="http://schemas.microsoft.com/office/spreadsheetml/2017/richdata2" ref="A22:D39">
    <sortCondition descending="1" ref="A22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7"/>
  <sheetViews>
    <sheetView topLeftCell="A58" workbookViewId="0">
      <selection activeCell="D74" sqref="D7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29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7"/>
  <sheetViews>
    <sheetView topLeftCell="A75" zoomScale="115" zoomScaleNormal="115" workbookViewId="0">
      <selection activeCell="C88" sqref="C8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/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/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/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7"/>
  <sheetViews>
    <sheetView topLeftCell="A76" workbookViewId="0">
      <selection activeCell="B90" sqref="B9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31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/>
    </row>
    <row r="11" spans="1:4" ht="23.4" x14ac:dyDescent="0.3">
      <c r="A11" s="64"/>
      <c r="B11" s="5"/>
      <c r="C11" s="24"/>
      <c r="D11" s="16"/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 t="shared" ref="C17" si="0"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/>
    </row>
    <row r="28" spans="1:4" ht="23.4" x14ac:dyDescent="0.3">
      <c r="A28" s="64"/>
      <c r="B28" s="5"/>
      <c r="C28" s="24"/>
      <c r="D28" s="16"/>
    </row>
    <row r="29" spans="1:4" ht="23.4" x14ac:dyDescent="0.3">
      <c r="A29" s="64"/>
      <c r="B29" s="5"/>
      <c r="C29" s="24"/>
      <c r="D29" s="16"/>
    </row>
    <row r="30" spans="1:4" ht="23.4" x14ac:dyDescent="0.3">
      <c r="A30" s="64"/>
      <c r="B30" s="5"/>
      <c r="C30" s="24"/>
      <c r="D30" s="16"/>
    </row>
    <row r="31" spans="1:4" ht="23.4" x14ac:dyDescent="0.3">
      <c r="A31" s="64"/>
      <c r="B31" s="5"/>
      <c r="C31" s="24"/>
      <c r="D31" s="16"/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 t="s">
        <v>53</v>
      </c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 t="shared" ref="C60" si="1"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8" t="s">
        <v>32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4"/>
      <c r="B8" s="5"/>
      <c r="C8" s="24"/>
      <c r="D8" s="16" t="s">
        <v>52</v>
      </c>
    </row>
    <row r="9" spans="1:4" ht="23.4" x14ac:dyDescent="0.3">
      <c r="A9" s="64"/>
      <c r="B9" s="5"/>
      <c r="C9" s="24"/>
      <c r="D9" s="16" t="s">
        <v>52</v>
      </c>
    </row>
    <row r="10" spans="1:4" ht="23.4" x14ac:dyDescent="0.3">
      <c r="A10" s="64"/>
      <c r="B10" s="5"/>
      <c r="C10" s="24"/>
      <c r="D10" s="16" t="s">
        <v>52</v>
      </c>
    </row>
    <row r="11" spans="1:4" ht="23.4" x14ac:dyDescent="0.3">
      <c r="A11" s="64"/>
      <c r="B11" s="5"/>
      <c r="C11" s="24"/>
      <c r="D11" s="16" t="s">
        <v>52</v>
      </c>
    </row>
    <row r="12" spans="1:4" ht="23.4" x14ac:dyDescent="0.3">
      <c r="A12" s="64"/>
      <c r="B12" s="5"/>
      <c r="C12" s="24"/>
      <c r="D12" s="16"/>
    </row>
    <row r="13" spans="1:4" ht="23.4" x14ac:dyDescent="0.3">
      <c r="A13" s="64"/>
      <c r="B13" s="5"/>
      <c r="C13" s="24"/>
      <c r="D13" s="16"/>
    </row>
    <row r="14" spans="1:4" ht="23.4" x14ac:dyDescent="0.3">
      <c r="A14" s="64"/>
      <c r="B14" s="5"/>
      <c r="C14" s="24"/>
      <c r="D14" s="16"/>
    </row>
    <row r="15" spans="1:4" ht="23.4" x14ac:dyDescent="0.3">
      <c r="A15" s="64"/>
      <c r="B15" s="5"/>
      <c r="C15" s="24"/>
      <c r="D15" s="16"/>
    </row>
    <row r="16" spans="1:4" ht="23.4" x14ac:dyDescent="0.3">
      <c r="A16" s="64"/>
      <c r="B16" s="5"/>
      <c r="C16" s="24"/>
      <c r="D16" s="16"/>
    </row>
    <row r="17" spans="1:4" ht="23.4" x14ac:dyDescent="0.3">
      <c r="A17" s="15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4"/>
      <c r="B25" s="5"/>
      <c r="C25" s="24"/>
      <c r="D25" s="16" t="s">
        <v>54</v>
      </c>
    </row>
    <row r="26" spans="1:4" ht="23.4" x14ac:dyDescent="0.3">
      <c r="A26" s="64"/>
      <c r="B26" s="5"/>
      <c r="C26" s="24"/>
      <c r="D26" s="16" t="s">
        <v>54</v>
      </c>
    </row>
    <row r="27" spans="1:4" ht="23.4" x14ac:dyDescent="0.3">
      <c r="A27" s="64"/>
      <c r="B27" s="5"/>
      <c r="C27" s="24"/>
      <c r="D27" s="16" t="s">
        <v>54</v>
      </c>
    </row>
    <row r="28" spans="1:4" ht="23.4" x14ac:dyDescent="0.3">
      <c r="A28" s="64"/>
      <c r="B28" s="5"/>
      <c r="C28" s="24"/>
      <c r="D28" s="16" t="s">
        <v>54</v>
      </c>
    </row>
    <row r="29" spans="1:4" ht="23.4" x14ac:dyDescent="0.3">
      <c r="A29" s="64"/>
      <c r="B29" s="5"/>
      <c r="C29" s="24"/>
      <c r="D29" s="16" t="s">
        <v>54</v>
      </c>
    </row>
    <row r="30" spans="1:4" ht="23.4" x14ac:dyDescent="0.3">
      <c r="A30" s="64"/>
      <c r="B30" s="5"/>
      <c r="C30" s="24"/>
      <c r="D30" s="16" t="s">
        <v>54</v>
      </c>
    </row>
    <row r="31" spans="1:4" ht="23.4" x14ac:dyDescent="0.3">
      <c r="A31" s="64"/>
      <c r="B31" s="5"/>
      <c r="C31" s="24"/>
      <c r="D31" s="16" t="s">
        <v>54</v>
      </c>
    </row>
    <row r="32" spans="1:4" ht="23.4" x14ac:dyDescent="0.3">
      <c r="A32" s="64"/>
      <c r="B32" s="5"/>
      <c r="C32" s="24"/>
      <c r="D32" s="16"/>
    </row>
    <row r="33" spans="1:4" ht="23.4" x14ac:dyDescent="0.3">
      <c r="A33" s="64"/>
      <c r="B33" s="5"/>
      <c r="C33" s="24"/>
      <c r="D33" s="16"/>
    </row>
    <row r="34" spans="1:4" ht="23.4" x14ac:dyDescent="0.3">
      <c r="A34" s="64"/>
      <c r="B34" s="5"/>
      <c r="C34" s="24"/>
      <c r="D34" s="16"/>
    </row>
    <row r="35" spans="1:4" ht="23.4" x14ac:dyDescent="0.3">
      <c r="A35" s="64"/>
      <c r="B35" s="5"/>
      <c r="C35" s="24"/>
      <c r="D35" s="16"/>
    </row>
    <row r="36" spans="1:4" ht="23.4" x14ac:dyDescent="0.3">
      <c r="A36" s="64"/>
      <c r="B36" s="5"/>
      <c r="C36" s="24"/>
      <c r="D36" s="16"/>
    </row>
    <row r="37" spans="1:4" ht="23.4" x14ac:dyDescent="0.3">
      <c r="A37" s="64"/>
      <c r="B37" s="5"/>
      <c r="C37" s="24"/>
      <c r="D37" s="16"/>
    </row>
    <row r="38" spans="1:4" ht="23.4" x14ac:dyDescent="0.3">
      <c r="A38" s="64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4"/>
      <c r="B50" s="5"/>
      <c r="C50" s="24"/>
      <c r="D50" s="16" t="s">
        <v>53</v>
      </c>
    </row>
    <row r="51" spans="1:4" ht="23.4" x14ac:dyDescent="0.3">
      <c r="A51" s="64"/>
      <c r="B51" s="5"/>
      <c r="C51" s="24"/>
      <c r="D51" s="16" t="s">
        <v>53</v>
      </c>
    </row>
    <row r="52" spans="1:4" ht="23.4" x14ac:dyDescent="0.3">
      <c r="A52" s="64"/>
      <c r="B52" s="5"/>
      <c r="C52" s="24"/>
      <c r="D52" s="16"/>
    </row>
    <row r="53" spans="1:4" ht="23.4" x14ac:dyDescent="0.3">
      <c r="A53" s="64"/>
      <c r="B53" s="5"/>
      <c r="C53" s="24"/>
      <c r="D53" s="16"/>
    </row>
    <row r="54" spans="1:4" ht="23.4" x14ac:dyDescent="0.3">
      <c r="A54" s="64"/>
      <c r="B54" s="5"/>
      <c r="C54" s="24"/>
      <c r="D54" s="16"/>
    </row>
    <row r="55" spans="1:4" ht="23.4" x14ac:dyDescent="0.3">
      <c r="A55" s="64"/>
      <c r="B55" s="5"/>
      <c r="C55" s="24"/>
      <c r="D55" s="16"/>
    </row>
    <row r="56" spans="1:4" ht="23.4" x14ac:dyDescent="0.3">
      <c r="A56" s="64"/>
      <c r="B56" s="5"/>
      <c r="C56" s="24"/>
      <c r="D56" s="16"/>
    </row>
    <row r="57" spans="1:4" ht="23.4" x14ac:dyDescent="0.3">
      <c r="A57" s="64"/>
      <c r="B57" s="5"/>
      <c r="C57" s="24"/>
      <c r="D57" s="16"/>
    </row>
    <row r="58" spans="1:4" ht="23.4" x14ac:dyDescent="0.3">
      <c r="A58" s="64"/>
      <c r="B58" s="5"/>
      <c r="C58" s="24"/>
      <c r="D58" s="16"/>
    </row>
    <row r="59" spans="1:4" ht="23.4" x14ac:dyDescent="0.3">
      <c r="A59" s="64"/>
      <c r="B59" s="5"/>
      <c r="C59" s="24"/>
      <c r="D59" s="16"/>
    </row>
    <row r="60" spans="1:4" ht="23.4" x14ac:dyDescent="0.3">
      <c r="A60" s="15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77"/>
  <sheetViews>
    <sheetView topLeftCell="A65" workbookViewId="0">
      <selection activeCell="D82" sqref="D82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8" t="s">
        <v>33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 t="s">
        <v>52</v>
      </c>
    </row>
    <row r="12" spans="1:4" ht="23.4" x14ac:dyDescent="0.3">
      <c r="A12" s="68"/>
      <c r="B12" s="5"/>
      <c r="C12" s="24"/>
      <c r="D12" s="16" t="s">
        <v>52</v>
      </c>
    </row>
    <row r="13" spans="1:4" ht="23.4" x14ac:dyDescent="0.3">
      <c r="A13" s="68"/>
      <c r="B13" s="5"/>
      <c r="C13" s="24"/>
      <c r="D13" s="16" t="s">
        <v>52</v>
      </c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 t="s">
        <v>54</v>
      </c>
    </row>
    <row r="31" spans="1:4" ht="23.4" x14ac:dyDescent="0.3">
      <c r="A31" s="68"/>
      <c r="B31" s="5"/>
      <c r="C31" s="24"/>
      <c r="D31" s="16" t="s">
        <v>54</v>
      </c>
    </row>
    <row r="32" spans="1:4" ht="23.4" x14ac:dyDescent="0.3">
      <c r="A32" s="68"/>
      <c r="B32" s="5"/>
      <c r="C32" s="24"/>
      <c r="D32" s="16" t="s">
        <v>54</v>
      </c>
    </row>
    <row r="33" spans="1:4" ht="23.4" x14ac:dyDescent="0.3">
      <c r="A33" s="68"/>
      <c r="B33" s="5"/>
      <c r="C33" s="24"/>
      <c r="D33" s="16" t="s">
        <v>54</v>
      </c>
    </row>
    <row r="34" spans="1:4" ht="23.4" x14ac:dyDescent="0.3">
      <c r="A34" s="68"/>
      <c r="B34" s="5"/>
      <c r="C34" s="24"/>
      <c r="D34" s="16" t="s">
        <v>54</v>
      </c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 t="s">
        <v>53</v>
      </c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77"/>
  <sheetViews>
    <sheetView topLeftCell="A65" workbookViewId="0">
      <selection activeCell="G56" sqref="G56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34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77"/>
  <sheetViews>
    <sheetView topLeftCell="A58" workbookViewId="0">
      <selection activeCell="C13" sqref="B8:C1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35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68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68"/>
      <c r="B28" s="5"/>
      <c r="C28" s="24"/>
      <c r="D28" s="16" t="s">
        <v>54</v>
      </c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77"/>
  <sheetViews>
    <sheetView topLeftCell="A15" workbookViewId="0">
      <selection activeCell="F11" sqref="F1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8" t="s">
        <v>36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77"/>
  <sheetViews>
    <sheetView topLeftCell="A58" workbookViewId="0">
      <selection activeCell="E71" sqref="E7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37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 t="s">
        <v>54</v>
      </c>
    </row>
    <row r="27" spans="1:4" ht="23.4" x14ac:dyDescent="0.3">
      <c r="A27" s="68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113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7"/>
  <sheetViews>
    <sheetView workbookViewId="0">
      <selection activeCell="F10" sqref="F1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38</v>
      </c>
      <c r="B1" s="13"/>
    </row>
    <row r="5" spans="1:4" ht="23.4" x14ac:dyDescent="0.3">
      <c r="A5" s="12" t="s">
        <v>39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 t="s">
        <v>52</v>
      </c>
    </row>
    <row r="10" spans="1:4" ht="23.4" x14ac:dyDescent="0.3">
      <c r="A10" s="113"/>
      <c r="B10" s="5"/>
      <c r="C10" s="24"/>
      <c r="D10" s="16" t="s">
        <v>52</v>
      </c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113"/>
      <c r="B25" s="5"/>
      <c r="C25" s="24"/>
      <c r="D25" s="16" t="s">
        <v>54</v>
      </c>
    </row>
    <row r="26" spans="1:4" ht="23.4" x14ac:dyDescent="0.3">
      <c r="A26" s="113"/>
      <c r="B26" s="5"/>
      <c r="C26" s="24"/>
      <c r="D26" s="16" t="s">
        <v>54</v>
      </c>
    </row>
    <row r="27" spans="1:4" ht="23.4" x14ac:dyDescent="0.3">
      <c r="A27" s="113"/>
      <c r="B27" s="5"/>
      <c r="C27" s="24"/>
      <c r="D27" s="16" t="s">
        <v>54</v>
      </c>
    </row>
    <row r="28" spans="1:4" ht="23.4" x14ac:dyDescent="0.3">
      <c r="A28" s="113"/>
      <c r="B28" s="5"/>
      <c r="C28" s="24"/>
      <c r="D28" s="16" t="s">
        <v>54</v>
      </c>
    </row>
    <row r="29" spans="1:4" ht="23.4" x14ac:dyDescent="0.3">
      <c r="A29" s="113"/>
      <c r="B29" s="5"/>
      <c r="C29" s="24"/>
      <c r="D29" s="16" t="s">
        <v>54</v>
      </c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C76/4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7"/>
  <sheetViews>
    <sheetView topLeftCell="A58" workbookViewId="0">
      <selection activeCell="B60" sqref="B60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40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>
        <f>SUM(C17:C33)</f>
        <v>0</v>
      </c>
      <c r="D34" s="16"/>
    </row>
    <row r="35" spans="1:4" ht="23.4" x14ac:dyDescent="0.3">
      <c r="A35" s="68"/>
      <c r="B35" s="5"/>
      <c r="C35" s="24">
        <f>SUM(C17:C33)</f>
        <v>0</v>
      </c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7"/>
  <sheetViews>
    <sheetView topLeftCell="A59" workbookViewId="0">
      <selection activeCell="E73" sqref="E7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8" t="s">
        <v>50</v>
      </c>
      <c r="B1" s="13"/>
    </row>
    <row r="5" spans="1:4" ht="23.4" x14ac:dyDescent="0.3">
      <c r="A5" s="12" t="s">
        <v>26</v>
      </c>
      <c r="B5" s="13"/>
    </row>
    <row r="6" spans="1:4" ht="23.4" x14ac:dyDescent="0.3">
      <c r="A6" s="21"/>
    </row>
    <row r="7" spans="1:4" ht="23.4" x14ac:dyDescent="0.3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4" x14ac:dyDescent="0.3">
      <c r="A8" s="68"/>
      <c r="B8" s="5"/>
      <c r="C8" s="24"/>
      <c r="D8" s="16" t="s">
        <v>52</v>
      </c>
    </row>
    <row r="9" spans="1:4" ht="23.4" x14ac:dyDescent="0.3">
      <c r="A9" s="68"/>
      <c r="B9" s="5"/>
      <c r="C9" s="24"/>
      <c r="D9" s="16"/>
    </row>
    <row r="10" spans="1:4" ht="23.4" x14ac:dyDescent="0.3">
      <c r="A10" s="68"/>
      <c r="B10" s="5"/>
      <c r="C10" s="24"/>
      <c r="D10" s="16"/>
    </row>
    <row r="11" spans="1:4" ht="23.4" x14ac:dyDescent="0.3">
      <c r="A11" s="68"/>
      <c r="B11" s="5"/>
      <c r="C11" s="24"/>
      <c r="D11" s="16"/>
    </row>
    <row r="12" spans="1:4" ht="23.4" x14ac:dyDescent="0.3">
      <c r="A12" s="68"/>
      <c r="B12" s="5"/>
      <c r="C12" s="24"/>
      <c r="D12" s="16"/>
    </row>
    <row r="13" spans="1:4" ht="23.4" x14ac:dyDescent="0.3">
      <c r="A13" s="68"/>
      <c r="B13" s="5"/>
      <c r="C13" s="24"/>
      <c r="D13" s="16"/>
    </row>
    <row r="14" spans="1:4" ht="23.4" x14ac:dyDescent="0.3">
      <c r="A14" s="68"/>
      <c r="B14" s="5"/>
      <c r="C14" s="24"/>
      <c r="D14" s="16"/>
    </row>
    <row r="15" spans="1:4" ht="23.4" x14ac:dyDescent="0.3">
      <c r="A15" s="68"/>
      <c r="B15" s="5"/>
      <c r="C15" s="24"/>
      <c r="D15" s="16"/>
    </row>
    <row r="16" spans="1:4" ht="23.4" x14ac:dyDescent="0.3">
      <c r="A16" s="68"/>
      <c r="B16" s="5"/>
      <c r="C16" s="24"/>
      <c r="D16" s="16"/>
    </row>
    <row r="17" spans="1:4" ht="23.4" x14ac:dyDescent="0.3">
      <c r="A17" s="69"/>
      <c r="B17" s="22" t="s">
        <v>23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21</v>
      </c>
      <c r="B22" s="13"/>
    </row>
    <row r="23" spans="1:4" ht="23.4" x14ac:dyDescent="0.3">
      <c r="A23" s="8"/>
    </row>
    <row r="24" spans="1:4" ht="23.4" x14ac:dyDescent="0.3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4" x14ac:dyDescent="0.3">
      <c r="A25" s="68"/>
      <c r="B25" s="5"/>
      <c r="C25" s="24"/>
      <c r="D25" s="16" t="s">
        <v>54</v>
      </c>
    </row>
    <row r="26" spans="1:4" ht="23.4" x14ac:dyDescent="0.3">
      <c r="A26" s="68"/>
      <c r="B26" s="5"/>
      <c r="C26" s="24"/>
      <c r="D26" s="16"/>
    </row>
    <row r="27" spans="1:4" ht="23.4" x14ac:dyDescent="0.3">
      <c r="A27" s="68"/>
      <c r="B27" s="5"/>
      <c r="C27" s="24"/>
      <c r="D27" s="16"/>
    </row>
    <row r="28" spans="1:4" ht="23.4" x14ac:dyDescent="0.3">
      <c r="A28" s="68"/>
      <c r="B28" s="5"/>
      <c r="C28" s="24"/>
      <c r="D28" s="16"/>
    </row>
    <row r="29" spans="1:4" ht="23.4" x14ac:dyDescent="0.3">
      <c r="A29" s="68"/>
      <c r="B29" s="5"/>
      <c r="C29" s="24"/>
      <c r="D29" s="16"/>
    </row>
    <row r="30" spans="1:4" ht="23.4" x14ac:dyDescent="0.3">
      <c r="A30" s="68"/>
      <c r="B30" s="5"/>
      <c r="C30" s="24"/>
      <c r="D30" s="16"/>
    </row>
    <row r="31" spans="1:4" ht="23.4" x14ac:dyDescent="0.3">
      <c r="A31" s="68"/>
      <c r="B31" s="5"/>
      <c r="C31" s="24"/>
      <c r="D31" s="16"/>
    </row>
    <row r="32" spans="1:4" ht="23.4" x14ac:dyDescent="0.3">
      <c r="A32" s="68"/>
      <c r="B32" s="5"/>
      <c r="C32" s="24"/>
      <c r="D32" s="16"/>
    </row>
    <row r="33" spans="1:4" ht="23.4" x14ac:dyDescent="0.3">
      <c r="A33" s="68"/>
      <c r="B33" s="5"/>
      <c r="C33" s="24"/>
      <c r="D33" s="16"/>
    </row>
    <row r="34" spans="1:4" ht="23.4" x14ac:dyDescent="0.3">
      <c r="A34" s="68"/>
      <c r="B34" s="5"/>
      <c r="C34" s="24"/>
      <c r="D34" s="16"/>
    </row>
    <row r="35" spans="1:4" ht="23.4" x14ac:dyDescent="0.3">
      <c r="A35" s="68"/>
      <c r="B35" s="5"/>
      <c r="C35" s="24"/>
      <c r="D35" s="16"/>
    </row>
    <row r="36" spans="1:4" ht="23.4" x14ac:dyDescent="0.3">
      <c r="A36" s="68"/>
      <c r="B36" s="5"/>
      <c r="C36" s="24"/>
      <c r="D36" s="16"/>
    </row>
    <row r="37" spans="1:4" ht="23.4" x14ac:dyDescent="0.3">
      <c r="A37" s="68"/>
      <c r="B37" s="5"/>
      <c r="C37" s="24"/>
      <c r="D37" s="16"/>
    </row>
    <row r="38" spans="1:4" ht="23.4" x14ac:dyDescent="0.3">
      <c r="A38" s="68"/>
      <c r="B38" s="5"/>
      <c r="C38" s="24"/>
      <c r="D38" s="16"/>
    </row>
    <row r="39" spans="1:4" ht="23.4" x14ac:dyDescent="0.3">
      <c r="A39" s="69"/>
      <c r="B39" s="7"/>
      <c r="C39" s="31"/>
      <c r="D39" s="16"/>
    </row>
    <row r="40" spans="1:4" ht="23.4" x14ac:dyDescent="0.3">
      <c r="A40" s="69"/>
      <c r="B40" s="22" t="s">
        <v>23</v>
      </c>
      <c r="C40" s="30">
        <f t="shared" ref="C40" si="0">SUM(C25:C39)</f>
        <v>0</v>
      </c>
      <c r="D40" s="20"/>
    </row>
    <row r="47" spans="1:4" ht="23.4" x14ac:dyDescent="0.3">
      <c r="A47" s="12" t="s">
        <v>27</v>
      </c>
      <c r="B47" s="13"/>
    </row>
    <row r="48" spans="1:4" ht="23.4" x14ac:dyDescent="0.3">
      <c r="A48" s="21"/>
    </row>
    <row r="49" spans="1:4" ht="23.4" x14ac:dyDescent="0.3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4" x14ac:dyDescent="0.3">
      <c r="A50" s="68"/>
      <c r="B50" s="5"/>
      <c r="C50" s="24"/>
      <c r="D50" s="16" t="s">
        <v>53</v>
      </c>
    </row>
    <row r="51" spans="1:4" ht="23.4" x14ac:dyDescent="0.3">
      <c r="A51" s="68"/>
      <c r="B51" s="5"/>
      <c r="C51" s="24"/>
      <c r="D51" s="16"/>
    </row>
    <row r="52" spans="1:4" ht="23.4" x14ac:dyDescent="0.3">
      <c r="A52" s="68"/>
      <c r="B52" s="5"/>
      <c r="C52" s="24"/>
      <c r="D52" s="16"/>
    </row>
    <row r="53" spans="1:4" ht="23.4" x14ac:dyDescent="0.3">
      <c r="A53" s="68"/>
      <c r="B53" s="5"/>
      <c r="C53" s="24"/>
      <c r="D53" s="16"/>
    </row>
    <row r="54" spans="1:4" ht="23.4" x14ac:dyDescent="0.3">
      <c r="A54" s="68"/>
      <c r="B54" s="5"/>
      <c r="C54" s="24"/>
      <c r="D54" s="16"/>
    </row>
    <row r="55" spans="1:4" ht="23.4" x14ac:dyDescent="0.3">
      <c r="A55" s="68"/>
      <c r="B55" s="5"/>
      <c r="C55" s="24"/>
      <c r="D55" s="16"/>
    </row>
    <row r="56" spans="1:4" ht="23.4" x14ac:dyDescent="0.3">
      <c r="A56" s="68"/>
      <c r="B56" s="5"/>
      <c r="C56" s="24"/>
      <c r="D56" s="16"/>
    </row>
    <row r="57" spans="1:4" ht="23.4" x14ac:dyDescent="0.3">
      <c r="A57" s="68"/>
      <c r="B57" s="5"/>
      <c r="C57" s="24"/>
      <c r="D57" s="16"/>
    </row>
    <row r="58" spans="1:4" ht="23.4" x14ac:dyDescent="0.3">
      <c r="A58" s="68"/>
      <c r="B58" s="5"/>
      <c r="C58" s="24"/>
      <c r="D58" s="16"/>
    </row>
    <row r="59" spans="1:4" ht="23.4" x14ac:dyDescent="0.3">
      <c r="A59" s="68"/>
      <c r="B59" s="5"/>
      <c r="C59" s="24"/>
      <c r="D59" s="16"/>
    </row>
    <row r="60" spans="1:4" ht="23.4" x14ac:dyDescent="0.3">
      <c r="A60" s="69"/>
      <c r="B60" s="22" t="s">
        <v>23</v>
      </c>
      <c r="C60" s="30">
        <f>SUM(C50:C59)</f>
        <v>0</v>
      </c>
      <c r="D60" s="20"/>
    </row>
    <row r="76" spans="2:3" ht="23.4" x14ac:dyDescent="0.3">
      <c r="B76" s="10" t="s">
        <v>23</v>
      </c>
      <c r="C76" s="25">
        <f>C17+C40+C60</f>
        <v>0</v>
      </c>
    </row>
    <row r="77" spans="2:3" ht="46.8" x14ac:dyDescent="0.3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Hus Alahmed</vt:lpstr>
      <vt:lpstr>Siraj</vt:lpstr>
      <vt:lpstr>Main Expenses (Fixed)</vt:lpstr>
      <vt:lpstr>Days each month</vt:lpstr>
      <vt:lpstr>October 2026</vt:lpstr>
      <vt:lpstr>November 2026</vt:lpstr>
      <vt:lpstr>December 2026</vt:lpstr>
      <vt:lpstr>January 2027</vt:lpstr>
      <vt:lpstr>February 2027</vt:lpstr>
      <vt:lpstr>March 2027</vt:lpstr>
      <vt:lpstr>April 2027</vt:lpstr>
      <vt:lpstr>May 2027</vt:lpstr>
      <vt:lpstr>June 2027</vt:lpstr>
      <vt:lpstr>July 2027</vt:lpstr>
      <vt:lpstr>August 2027</vt:lpstr>
      <vt:lpstr>September 2027</vt:lpstr>
      <vt:lpstr>October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2026-09-30T07:16:11Z</dcterms:modified>
  <cp:category/>
  <cp:contentStatus/>
</cp:coreProperties>
</file>