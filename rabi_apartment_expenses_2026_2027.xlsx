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4EA96914-6C2B-43C1-AAFC-063753F73139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<sst xmlns="http://schemas.openxmlformats.org/spreadsheetml/2006/main" count="573" uniqueCount="115">
  <si>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</si>
  <si>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</si>
  <si>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</si>
  <si>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</si>
  <si>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</si>
  <si>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</si>
  <si>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</si>
  <si>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</si>
  <si>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</si>
  <si>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</si>
  <si>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</si>
  <si>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</si>
  <si>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</si>
  <si>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</si>
  <si>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</si>
  <si>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</si>
  <si>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</si>
  <si>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</si>
  <si>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</si>
  <si>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</si>
  <si>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</si>
  <si>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</si>
  <si>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</si>
  <si>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</si>
  <si>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</si>
  <si>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</si>
  <si>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</si>
  <si>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</si>
  <si>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</si>
  <si>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</si>
  <si>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</si>
  <si>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</si>
  <si>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</si>
  <si>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</si>
  <si>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</si>
  <si>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</si>
  <si>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</si>
  <si>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</si>
  <si>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</si>
  <si>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</si>
  <si>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</si>
  <si>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</si>
  <si>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</si>
  <si>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</si>
  <si>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</si>
  <si>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</si>
  <si>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</si>
  <si>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</si>
  <si>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</si>
  <si>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</si>
  <si>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</si>
  <si>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</si>
  <si>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</si>
  <si>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</si>
  <si>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</si>
  <si>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</si>
  <si>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</si>
  <si>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</si>
  <si>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</si>
  <si>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</si>
  <si>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</si>
  <si>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</si>
  <si>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</si>
  <si>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</si>
  <si>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</si>
  <si>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</si>
  <si>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</si>
  <si>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</si>
  <si>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</si>
  <si>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</si>
  <si>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</si>
  <si>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</si>
  <si>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</si>
  <si>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</si>
  <si>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</si>
  <si>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</si>
  <si>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</si>
  <si>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</si>
  <si>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</si>
  <si>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</si>
  <si>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</si>
  <si>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</si>
  <si>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</si>
  <si>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</si>
  <si>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</si>
  <si>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</si>
  <si>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</si>
  <si>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</si>
  <si>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</si>
  <si>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</si>
  <si>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</si>
  <si>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</si>
  <si>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</si>
  <si>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</si>
  <si>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</si>
  <si>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</si>
  <si>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</si>
  <si>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</si>
  <si>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</si>
  <si>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</si>
  <si>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</si>
  <si>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</si>
  <si>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</si>
  <si>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</si>
  <si>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</si>
  <si>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</si>
  <si>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</si>
  <si>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</si>
  <si>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</si>
  <si>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</si>
  <si>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</si>
  <si>
    <t>كرتون ماء</t>
  </si>
  <si>
    <t>ماء</t>
  </si>
  <si>
    <t>فاتورة الكهرباء</t>
  </si>
  <si>
    <t>كرتونين 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</si>
</sst>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69" headerRowBorderDxfId="268" tableBorderDxfId="267" totalsRowBorderDxfId="266">
  <autoFilter ref="B3:F13" xr:uid="{3E62A328-AD6E-48B2-A699-07AB142B3434}"/>
  <tableColumns count="5">
    <tableColumn id="1" xr3:uid="{97965C2C-9F10-43FA-8230-95A171227E4E}" name="Date" dataDxfId="265"/>
    <tableColumn id="2" xr3:uid="{A8EC653B-6087-4D02-A239-23BC52151438}" name="Description" dataDxfId="264"/>
    <tableColumn id="5" xr3:uid="{6FA64202-3D72-4E25-9EB4-C9C94409F9B6}" name="Rental Amounts" dataDxfId="263"/>
    <tableColumn id="3" xr3:uid="{17957902-6DAA-4BD9-A7CD-D6ADE21B00D5}" name="General Expenses" dataDxfId="262"/>
    <tableColumn id="4" xr3:uid="{C58CB5CA-2A3E-4BB8-ACC4-E201CB448484}" name="Comments" dataDxfId="2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60" headerRowBorderDxfId="259" tableBorderDxfId="258" totalsRowBorderDxfId="257">
  <autoFilter ref="B3:F13" xr:uid="{3E62A328-AD6E-48B2-A699-07AB142B3434}"/>
  <tableColumns count="5">
    <tableColumn id="1" xr3:uid="{DC69C7C0-9FC3-4D47-B9DA-EABE938C7483}" name="Date" dataDxfId="256"/>
    <tableColumn id="2" xr3:uid="{B93F1828-8FAA-4039-9459-BDF6550CC6CA}" name="Description" dataDxfId="255"/>
    <tableColumn id="5" xr3:uid="{B265A6FB-EFF0-42DD-A3E6-612B19FA9A47}" name="Rental Amounts" dataDxfId="254"/>
    <tableColumn id="3" xr3:uid="{B3AA0C51-56B3-4FB2-86DB-CB9171D472DF}" name="General Expenses" dataDxfId="253"/>
    <tableColumn id="4" xr3:uid="{C43A1CDC-2AEA-477C-87AD-8427A09D4D9A}" name="Comments" dataDxfId="2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90" tableBorderDxfId="289" totalsRowBorderDxfId="288">
  <autoFilter ref="A24:D40" xr:uid="{6A708C44-F2F5-4584-913D-DD0A472A5F82}"/>
  <tableColumns count="4">
    <tableColumn id="1" xr3:uid="{FDAC8048-8290-4C04-9DC0-EE08855B5082}" name="Date" dataDxfId="287"/>
    <tableColumn id="2" xr3:uid="{5FC23500-E5BC-45E2-9F20-92D80331184A}" name="Description" dataDxfId="286"/>
    <tableColumn id="3" xr3:uid="{13CFA113-6902-4082-9EB4-5C37FC33813D}" name="Amount" dataDxfId="285"/>
    <tableColumn id="4" xr3:uid="{0A2E9BCA-BC25-4D84-B5C4-B5F3BDD8CD8E}" name="Paid By" dataDxfId="2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83" tableBorderDxfId="282" totalsRowBorderDxfId="281">
  <autoFilter ref="A7:D17" xr:uid="{80463B2B-140C-4BDB-8DD5-F6096215EFE7}"/>
  <tableColumns count="4">
    <tableColumn id="1" xr3:uid="{FD3BE87C-4466-4687-B27A-E8940E3F9FBD}" name="Date" dataDxfId="280"/>
    <tableColumn id="2" xr3:uid="{18AAB156-0E8F-4C3E-96E5-64F670C6DA90}" name="Description" dataDxfId="279"/>
    <tableColumn id="3" xr3:uid="{8B5CAF20-764D-4111-8B94-302778960CBC}" name="Amount" dataDxfId="278"/>
    <tableColumn id="4" xr3:uid="{CB460B0E-5B97-4CA4-8299-C89F76979F64}" name="Paid By" dataDxfId="2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76" tableBorderDxfId="275" totalsRowBorderDxfId="274">
  <autoFilter ref="A49:D60" xr:uid="{AE116159-1DBD-4123-96D0-93E844246614}"/>
  <tableColumns count="4">
    <tableColumn id="1" xr3:uid="{EA7D064C-7D27-42A8-B08A-E79C1F5C4B07}" name="Date" dataDxfId="273"/>
    <tableColumn id="2" xr3:uid="{6CE4DF82-E169-40D6-9ABE-2954EFB1C2FE}" name="Description" dataDxfId="272"/>
    <tableColumn id="3" xr3:uid="{DAD651FA-371A-42D0-9AD3-8D1408ADD3E5}" name="Amount" dataDxfId="271"/>
    <tableColumn id="4" xr3:uid="{568C6EA1-E4C5-4D11-8421-72C8BF0F4E1F}" name="Paid By" dataDxfId="2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91" zoomScale="85" zoomScaleNormal="85" workbookViewId="0">
      <selection activeCell="B7" sqref="B7"/>
    </sheetView>
  </sheetViews>
  <sheetFormatPr defaultColWidth="9.08984375" defaultRowHeight="23.5" x14ac:dyDescent="0.35"/>
  <cols>
    <col min="1" max="1" width="19.90625" style="1" bestFit="1" customWidth="1"/>
    <col min="2" max="2" width="29.90625" style="4" bestFit="1" customWidth="1"/>
    <col min="3" max="3" width="59.453125" style="4" bestFit="1" customWidth="1"/>
    <col min="4" max="4" width="31.08984375" style="4" bestFit="1" customWidth="1"/>
    <col min="5" max="5" width="31.90625" style="48" bestFit="1" customWidth="1"/>
    <col min="6" max="6" width="45.90625" style="4" bestFit="1" customWidth="1"/>
    <col min="7" max="7" width="11.90625" style="4" bestFit="1" customWidth="1"/>
    <col min="8" max="8" width="12.54296875" style="1" bestFit="1" customWidth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8" x14ac:dyDescent="0.35">
      <c r="B1" s="122" t="s">
        <v>106</v>
      </c>
      <c r="C1" s="122"/>
      <c r="D1" s="122"/>
      <c r="E1" s="122"/>
      <c r="F1" s="122"/>
    </row>
    <row r="3" spans="1:8" x14ac:dyDescent="0.35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4">
      <c r="A4" s="52"/>
      <c r="B4" s="103"/>
      <c r="C4" s="35" t="s">
        <v>6</v>
      </c>
      <c r="D4" s="42"/>
      <c r="E4" s="99"/>
      <c r="F4" s="88"/>
    </row>
    <row r="5" spans="1:8" ht="24.5" thickTop="1" thickBot="1" x14ac:dyDescent="0.4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5" thickTop="1" thickBot="1" x14ac:dyDescent="0.4">
      <c r="A6" s="124"/>
      <c r="B6" s="120"/>
      <c r="C6" s="79" t="s">
        <v>110</v>
      </c>
      <c r="D6" s="83">
        <v>-162.63999999999999</v>
      </c>
      <c r="E6" s="43"/>
      <c r="F6" s="86"/>
      <c r="H6" s="29"/>
    </row>
    <row r="7" spans="1:8" ht="24.5" thickTop="1" thickBot="1" x14ac:dyDescent="0.4">
      <c r="A7" s="121"/>
      <c r="B7" s="118">
        <v>46293</v>
      </c>
      <c r="C7" s="84" t="s">
        <v>108</v>
      </c>
      <c r="D7" s="67">
        <v>-4954.3599999999997</v>
      </c>
      <c r="E7" s="100">
        <f>'October 2026'!C77</f>
        <v>99.82</v>
      </c>
      <c r="F7" s="86" t="s">
        <v>55</v>
      </c>
    </row>
    <row r="8" spans="1:8" ht="24.5" thickTop="1" thickBot="1" x14ac:dyDescent="0.4">
      <c r="A8" s="121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5" thickTop="1" thickBot="1" x14ac:dyDescent="0.4">
      <c r="A9" s="121"/>
      <c r="B9" s="106"/>
      <c r="C9" s="53"/>
      <c r="D9" s="43"/>
      <c r="E9" s="101"/>
      <c r="F9" s="86"/>
      <c r="G9" s="102">
        <f>SUM(E6:E8)</f>
        <v>99.82</v>
      </c>
    </row>
    <row r="10" spans="1:8" ht="24.5" thickTop="1" thickBot="1" x14ac:dyDescent="0.4">
      <c r="A10" s="121"/>
      <c r="B10" s="107"/>
      <c r="C10" s="57"/>
      <c r="D10" s="85"/>
      <c r="E10" s="55"/>
      <c r="F10" s="90" t="s">
        <v>52</v>
      </c>
    </row>
    <row r="11" spans="1:8" ht="24.5" thickTop="1" thickBot="1" x14ac:dyDescent="0.4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5" thickTop="1" thickBot="1" x14ac:dyDescent="0.4">
      <c r="A12" s="121"/>
      <c r="B12" s="108"/>
      <c r="C12" s="33"/>
      <c r="D12" s="51"/>
      <c r="E12" s="51"/>
      <c r="F12" s="92"/>
    </row>
    <row r="13" spans="1:8" ht="24.5" thickTop="1" thickBot="1" x14ac:dyDescent="0.4">
      <c r="A13" s="121"/>
      <c r="B13" s="108"/>
      <c r="C13" s="33"/>
      <c r="D13" s="51"/>
      <c r="E13" s="51"/>
      <c r="F13" s="92"/>
    </row>
    <row r="14" spans="1:8" ht="24.5" thickTop="1" thickBot="1" x14ac:dyDescent="0.4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5" thickTop="1" thickBot="1" x14ac:dyDescent="0.4">
      <c r="A15" s="121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5" thickTop="1" thickBot="1" x14ac:dyDescent="0.4">
      <c r="A16" s="121"/>
      <c r="B16" s="108"/>
      <c r="C16" s="50"/>
      <c r="D16" s="51"/>
      <c r="E16" s="45"/>
      <c r="F16" s="86"/>
    </row>
    <row r="17" spans="1:11" ht="24.5" thickTop="1" thickBot="1" x14ac:dyDescent="0.4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5" thickTop="1" thickBot="1" x14ac:dyDescent="0.4">
      <c r="A18" s="121"/>
      <c r="B18" s="107"/>
      <c r="C18" s="59"/>
      <c r="D18" s="46"/>
      <c r="E18" s="46"/>
      <c r="F18" s="119" t="s">
        <v>52</v>
      </c>
    </row>
    <row r="19" spans="1:11" ht="24.5" thickTop="1" thickBot="1" x14ac:dyDescent="0.4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5" thickTop="1" thickBot="1" x14ac:dyDescent="0.4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5" thickTop="1" thickBot="1" x14ac:dyDescent="0.4">
      <c r="A21" s="121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5" thickTop="1" thickBot="1" x14ac:dyDescent="0.4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5" thickTop="1" thickBot="1" x14ac:dyDescent="0.4">
      <c r="A23" s="121"/>
      <c r="B23" s="107"/>
      <c r="C23" s="57"/>
      <c r="D23" s="44"/>
      <c r="E23" s="44"/>
      <c r="F23" s="119" t="s">
        <v>52</v>
      </c>
      <c r="J23" s="4"/>
      <c r="K23" s="4"/>
    </row>
    <row r="24" spans="1:11" ht="24.5" thickTop="1" thickBot="1" x14ac:dyDescent="0.4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5" thickTop="1" thickBot="1" x14ac:dyDescent="0.4">
      <c r="A25" s="121"/>
      <c r="B25" s="106"/>
      <c r="C25" s="33"/>
      <c r="D25" s="45"/>
      <c r="E25" s="77"/>
      <c r="F25" s="96"/>
      <c r="J25" s="4"/>
      <c r="K25" s="4"/>
    </row>
    <row r="26" spans="1:11" ht="24.5" thickTop="1" thickBot="1" x14ac:dyDescent="0.4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5" thickTop="1" thickBot="1" x14ac:dyDescent="0.4">
      <c r="A27" s="121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5" thickTop="1" thickBot="1" x14ac:dyDescent="0.4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5" thickTop="1" thickBot="1" x14ac:dyDescent="0.4">
      <c r="A29" s="121"/>
      <c r="B29" s="107"/>
      <c r="C29" s="59"/>
      <c r="D29" s="46"/>
      <c r="E29" s="46"/>
      <c r="F29" s="119" t="s">
        <v>52</v>
      </c>
    </row>
    <row r="30" spans="1:11" ht="24.5" thickTop="1" thickBot="1" x14ac:dyDescent="0.4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5" thickTop="1" thickBot="1" x14ac:dyDescent="0.4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5" thickTop="1" thickBot="1" x14ac:dyDescent="0.4">
      <c r="A32" s="121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5" thickTop="1" thickBot="1" x14ac:dyDescent="0.4">
      <c r="A33" s="121"/>
      <c r="B33" s="108"/>
      <c r="C33" s="22"/>
      <c r="D33" s="49"/>
      <c r="E33" s="43"/>
      <c r="F33" s="86"/>
    </row>
    <row r="34" spans="1:7" ht="24.5" thickTop="1" thickBot="1" x14ac:dyDescent="0.4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5" thickTop="1" thickBot="1" x14ac:dyDescent="0.4">
      <c r="A35" s="121"/>
      <c r="B35" s="107"/>
      <c r="C35" s="56"/>
      <c r="D35" s="44"/>
      <c r="E35" s="44"/>
      <c r="F35" s="119" t="s">
        <v>52</v>
      </c>
    </row>
    <row r="36" spans="1:7" ht="24.5" thickTop="1" thickBot="1" x14ac:dyDescent="0.4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5" thickTop="1" thickBot="1" x14ac:dyDescent="0.4">
      <c r="A37" s="121"/>
      <c r="B37" s="106"/>
      <c r="C37" s="33"/>
      <c r="D37" s="45"/>
      <c r="E37" s="45">
        <f>'March 2027'!C17*(-1)</f>
        <v>0</v>
      </c>
      <c r="F37" s="86" t="s">
        <v>91</v>
      </c>
    </row>
    <row r="38" spans="1:7" ht="24.5" thickTop="1" thickBot="1" x14ac:dyDescent="0.4">
      <c r="A38" s="121"/>
      <c r="B38" s="108"/>
      <c r="C38" s="50"/>
      <c r="D38" s="51"/>
      <c r="E38" s="45"/>
      <c r="F38" s="98"/>
    </row>
    <row r="39" spans="1:7" ht="24.5" thickTop="1" thickBot="1" x14ac:dyDescent="0.4">
      <c r="A39" s="121"/>
      <c r="B39" s="108"/>
      <c r="C39" s="50"/>
      <c r="D39" s="51"/>
      <c r="E39" s="45"/>
      <c r="F39" s="98"/>
    </row>
    <row r="40" spans="1:7" ht="24.5" thickTop="1" thickBot="1" x14ac:dyDescent="0.4">
      <c r="A40" s="121"/>
      <c r="B40" s="108"/>
      <c r="C40" s="50"/>
      <c r="D40" s="51"/>
      <c r="E40" s="45"/>
      <c r="F40" s="98"/>
    </row>
    <row r="41" spans="1:7" ht="24.5" thickTop="1" thickBot="1" x14ac:dyDescent="0.4">
      <c r="A41" s="121"/>
      <c r="B41" s="108"/>
      <c r="C41" s="50"/>
      <c r="D41" s="51"/>
      <c r="E41" s="45"/>
      <c r="F41" s="98"/>
    </row>
    <row r="42" spans="1:7" ht="24.5" thickTop="1" thickBot="1" x14ac:dyDescent="0.4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5" thickTop="1" thickBot="1" x14ac:dyDescent="0.4">
      <c r="A43" s="121"/>
      <c r="B43" s="107"/>
      <c r="C43" s="59"/>
      <c r="D43" s="46"/>
      <c r="E43" s="46"/>
      <c r="F43" s="119" t="s">
        <v>52</v>
      </c>
    </row>
    <row r="44" spans="1:7" ht="24.5" thickTop="1" thickBot="1" x14ac:dyDescent="0.4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5" thickTop="1" thickBot="1" x14ac:dyDescent="0.4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5" thickTop="1" thickBot="1" x14ac:dyDescent="0.4">
      <c r="A46" s="121"/>
      <c r="B46" s="106"/>
      <c r="C46" s="10"/>
      <c r="D46" s="43"/>
      <c r="E46" s="43">
        <f>'April 2027'!C17*(-1)</f>
        <v>0</v>
      </c>
      <c r="F46" s="86" t="s">
        <v>93</v>
      </c>
    </row>
    <row r="47" spans="1:7" ht="24.5" thickTop="1" thickBot="1" x14ac:dyDescent="0.4">
      <c r="A47" s="121"/>
      <c r="B47" s="108"/>
      <c r="C47" s="22"/>
      <c r="D47" s="49"/>
      <c r="E47" s="43"/>
      <c r="F47" s="98"/>
    </row>
    <row r="48" spans="1:7" ht="24.5" thickTop="1" thickBot="1" x14ac:dyDescent="0.4">
      <c r="A48" s="121"/>
      <c r="B48" s="108"/>
      <c r="C48" s="22"/>
      <c r="D48" s="49"/>
      <c r="E48" s="43"/>
      <c r="F48" s="86"/>
    </row>
    <row r="49" spans="1:9" ht="24.5" thickTop="1" thickBot="1" x14ac:dyDescent="0.4">
      <c r="A49" s="121"/>
      <c r="B49" s="108"/>
      <c r="C49" s="22"/>
      <c r="D49" s="49"/>
      <c r="E49" s="43"/>
      <c r="F49" s="98"/>
    </row>
    <row r="50" spans="1:9" ht="24.5" thickTop="1" thickBot="1" x14ac:dyDescent="0.4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5" thickTop="1" thickBot="1" x14ac:dyDescent="0.4">
      <c r="A51" s="121"/>
      <c r="B51" s="107"/>
      <c r="C51" s="57"/>
      <c r="D51" s="44"/>
      <c r="E51" s="44"/>
      <c r="F51" s="119" t="s">
        <v>52</v>
      </c>
      <c r="I51" s="34"/>
    </row>
    <row r="52" spans="1:9" ht="24.5" thickTop="1" thickBot="1" x14ac:dyDescent="0.4">
      <c r="A52" s="121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5" thickTop="1" thickBot="1" x14ac:dyDescent="0.4">
      <c r="A53" s="121"/>
      <c r="B53" s="106"/>
      <c r="C53" s="33"/>
      <c r="D53" s="45"/>
      <c r="E53" s="77"/>
      <c r="F53" s="96"/>
      <c r="I53" s="34"/>
    </row>
    <row r="54" spans="1:9" ht="24.5" thickTop="1" thickBot="1" x14ac:dyDescent="0.4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5" thickTop="1" thickBot="1" x14ac:dyDescent="0.4">
      <c r="A55" s="121"/>
      <c r="B55" s="106"/>
      <c r="C55" s="50"/>
      <c r="D55" s="45"/>
      <c r="E55" s="45">
        <f>'May 2027'!C17*(-1)</f>
        <v>0</v>
      </c>
      <c r="F55" s="86" t="s">
        <v>95</v>
      </c>
    </row>
    <row r="56" spans="1:9" ht="24.5" thickTop="1" thickBot="1" x14ac:dyDescent="0.4">
      <c r="A56" s="121"/>
      <c r="B56" s="108"/>
      <c r="C56" s="33"/>
      <c r="D56" s="51"/>
      <c r="E56" s="45"/>
      <c r="F56" s="86"/>
    </row>
    <row r="57" spans="1:9" ht="24.5" thickTop="1" thickBot="1" x14ac:dyDescent="0.4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5" thickTop="1" thickBot="1" x14ac:dyDescent="0.4">
      <c r="A58" s="121"/>
      <c r="B58" s="108"/>
      <c r="C58" s="58"/>
      <c r="D58" s="51"/>
      <c r="E58" s="51"/>
      <c r="F58" s="98"/>
    </row>
    <row r="59" spans="1:9" ht="24.5" thickTop="1" thickBot="1" x14ac:dyDescent="0.4">
      <c r="A59" s="121"/>
      <c r="B59" s="107"/>
      <c r="C59" s="114"/>
      <c r="D59" s="51"/>
      <c r="E59" s="46"/>
      <c r="F59" s="119" t="s">
        <v>52</v>
      </c>
    </row>
    <row r="60" spans="1:9" ht="24.5" thickTop="1" thickBot="1" x14ac:dyDescent="0.4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5" thickTop="1" thickBot="1" x14ac:dyDescent="0.4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5" thickTop="1" thickBot="1" x14ac:dyDescent="0.4">
      <c r="A62" s="121"/>
      <c r="B62" s="106"/>
      <c r="C62" s="82"/>
      <c r="D62" s="78"/>
      <c r="E62" s="43">
        <f>'June 2027'!C17*(-1)</f>
        <v>0</v>
      </c>
      <c r="F62" s="86" t="s">
        <v>96</v>
      </c>
    </row>
    <row r="63" spans="1:9" ht="24.5" thickTop="1" thickBot="1" x14ac:dyDescent="0.4">
      <c r="A63" s="121"/>
      <c r="B63" s="108"/>
      <c r="C63" s="22"/>
      <c r="D63" s="49"/>
      <c r="E63" s="43"/>
      <c r="F63" s="86"/>
    </row>
    <row r="64" spans="1:9" ht="24.5" thickTop="1" thickBot="1" x14ac:dyDescent="0.4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5" thickTop="1" thickBot="1" x14ac:dyDescent="0.4">
      <c r="A65" s="121"/>
      <c r="B65" s="108"/>
      <c r="C65" s="56"/>
      <c r="D65" s="49"/>
      <c r="E65" s="49"/>
      <c r="F65" s="98"/>
    </row>
    <row r="66" spans="1:7" ht="24.5" thickTop="1" thickBot="1" x14ac:dyDescent="0.4">
      <c r="A66" s="121"/>
      <c r="B66" s="107"/>
      <c r="C66" s="57"/>
      <c r="D66" s="44"/>
      <c r="E66" s="44"/>
      <c r="F66" s="119" t="s">
        <v>52</v>
      </c>
    </row>
    <row r="67" spans="1:7" ht="24.5" thickTop="1" thickBot="1" x14ac:dyDescent="0.4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5" thickTop="1" thickBot="1" x14ac:dyDescent="0.4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5" thickTop="1" thickBot="1" x14ac:dyDescent="0.4">
      <c r="A69" s="121"/>
      <c r="B69" s="106"/>
      <c r="C69" s="33"/>
      <c r="D69" s="45"/>
      <c r="E69" s="45">
        <f>'July 2027'!C17*(-1)</f>
        <v>0</v>
      </c>
      <c r="F69" s="86" t="s">
        <v>99</v>
      </c>
    </row>
    <row r="70" spans="1:7" ht="24.5" thickTop="1" thickBot="1" x14ac:dyDescent="0.4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5" thickTop="1" thickBot="1" x14ac:dyDescent="0.4">
      <c r="A71" s="121"/>
      <c r="B71" s="107"/>
      <c r="C71" s="111"/>
      <c r="D71" s="46"/>
      <c r="E71" s="46"/>
      <c r="F71" s="119" t="s">
        <v>52</v>
      </c>
    </row>
    <row r="72" spans="1:7" ht="24.5" thickTop="1" thickBot="1" x14ac:dyDescent="0.4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5" thickTop="1" thickBot="1" x14ac:dyDescent="0.4">
      <c r="A73" s="121"/>
      <c r="B73" s="118"/>
      <c r="C73" s="82"/>
      <c r="D73" s="78"/>
      <c r="E73" s="78"/>
      <c r="F73" s="96"/>
    </row>
    <row r="74" spans="1:7" ht="24.5" thickTop="1" thickBot="1" x14ac:dyDescent="0.4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5" thickTop="1" thickBot="1" x14ac:dyDescent="0.4">
      <c r="A75" s="121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5" thickTop="1" thickBot="1" x14ac:dyDescent="0.4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5" thickTop="1" thickBot="1" x14ac:dyDescent="0.4">
      <c r="A77" s="121"/>
      <c r="B77" s="107"/>
      <c r="C77" s="57"/>
      <c r="D77" s="44"/>
      <c r="E77" s="44"/>
      <c r="F77" s="119" t="s">
        <v>52</v>
      </c>
    </row>
    <row r="78" spans="1:7" ht="24.5" thickTop="1" thickBot="1" x14ac:dyDescent="0.4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5" thickTop="1" thickBot="1" x14ac:dyDescent="0.4">
      <c r="A79" s="121"/>
      <c r="B79" s="112"/>
      <c r="C79" s="87"/>
      <c r="D79" s="77"/>
      <c r="E79" s="77"/>
      <c r="F79" s="96"/>
    </row>
    <row r="80" spans="1:7" ht="24.5" thickTop="1" thickBot="1" x14ac:dyDescent="0.4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5" thickTop="1" thickBot="1" x14ac:dyDescent="0.4">
      <c r="A81" s="121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5" thickTop="1" thickBot="1" x14ac:dyDescent="0.4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5" thickTop="1" thickBot="1" x14ac:dyDescent="0.4">
      <c r="A83" s="125"/>
      <c r="B83" s="107"/>
      <c r="C83" s="111"/>
      <c r="D83" s="46"/>
      <c r="E83" s="46"/>
      <c r="F83" s="119" t="s">
        <v>52</v>
      </c>
    </row>
    <row r="84" spans="1:7" ht="24.5" thickTop="1" thickBot="1" x14ac:dyDescent="0.4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5" thickTop="1" thickBot="1" x14ac:dyDescent="0.4">
      <c r="A85" s="121"/>
      <c r="B85" s="110"/>
      <c r="C85" s="82"/>
      <c r="D85" s="78"/>
      <c r="E85" s="78"/>
      <c r="F85" s="96"/>
    </row>
    <row r="86" spans="1:7" ht="24.5" thickTop="1" thickBot="1" x14ac:dyDescent="0.4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5" thickTop="1" thickBot="1" x14ac:dyDescent="0.4">
      <c r="A87" s="121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5" thickTop="1" thickBot="1" x14ac:dyDescent="0.4">
      <c r="A88" s="121"/>
      <c r="B88" s="108"/>
      <c r="C88" s="22"/>
      <c r="D88" s="49"/>
      <c r="E88" s="43"/>
      <c r="F88" s="86"/>
    </row>
    <row r="89" spans="1:7" ht="24.5" thickTop="1" thickBot="1" x14ac:dyDescent="0.4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5" thickTop="1" thickBot="1" x14ac:dyDescent="0.4">
      <c r="A90" s="121"/>
      <c r="B90" s="107"/>
      <c r="C90" s="57"/>
      <c r="D90" s="44"/>
      <c r="E90" s="44"/>
      <c r="F90" s="119" t="s">
        <v>52</v>
      </c>
    </row>
    <row r="91" spans="1:7" ht="24" thickTop="1" x14ac:dyDescent="0.35">
      <c r="D91" s="48"/>
    </row>
    <row r="92" spans="1:7" x14ac:dyDescent="0.35">
      <c r="D92" s="48"/>
    </row>
    <row r="93" spans="1:7" x14ac:dyDescent="0.35">
      <c r="D93" s="48"/>
    </row>
    <row r="94" spans="1:7" ht="24" thickBot="1" x14ac:dyDescent="0.4">
      <c r="D94" s="48"/>
    </row>
    <row r="95" spans="1:7" ht="48" thickTop="1" thickBot="1" x14ac:dyDescent="0.4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5" thickTop="1" thickBot="1" x14ac:dyDescent="0.6">
      <c r="A96" s="80" t="s">
        <v>44</v>
      </c>
      <c r="B96" s="81">
        <v>46673</v>
      </c>
      <c r="C96" s="6"/>
      <c r="D96" s="62">
        <f>SUM(D5:D92)</f>
        <v>5116.3333333333339</v>
      </c>
      <c r="E96" s="62">
        <f>SUM(E6:E92)</f>
        <v>99.82</v>
      </c>
    </row>
    <row r="97" spans="3:3" ht="24" thickTop="1" x14ac:dyDescent="0.35">
      <c r="C97" s="48"/>
    </row>
    <row r="98" spans="3:3" x14ac:dyDescent="0.35">
      <c r="C98" s="48"/>
    </row>
  </sheetData>
  <mergeCells count="14">
    <mergeCell ref="A78:A83"/>
    <mergeCell ref="A84:A90"/>
    <mergeCell ref="A36:A43"/>
    <mergeCell ref="A44:A51"/>
    <mergeCell ref="A52:A59"/>
    <mergeCell ref="A60:A66"/>
    <mergeCell ref="A67:A71"/>
    <mergeCell ref="A72:A77"/>
    <mergeCell ref="A30:A35"/>
    <mergeCell ref="B1:F1"/>
    <mergeCell ref="A5:A10"/>
    <mergeCell ref="A11:A18"/>
    <mergeCell ref="A19:A23"/>
    <mergeCell ref="A24:A29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opLeftCell="A88" zoomScale="85" zoomScaleNormal="85" workbookViewId="0">
      <selection activeCell="C103" sqref="C103"/>
    </sheetView>
  </sheetViews>
  <sheetFormatPr defaultColWidth="9.08984375" defaultRowHeight="23.5" x14ac:dyDescent="0.35"/>
  <cols>
    <col min="1" max="1" width="19.90625" style="1" bestFit="1" customWidth="1"/>
    <col min="2" max="2" width="29.90625" style="4" bestFit="1" customWidth="1"/>
    <col min="3" max="3" width="59.453125" style="4" bestFit="1" customWidth="1"/>
    <col min="4" max="4" width="31.08984375" style="4" bestFit="1" customWidth="1"/>
    <col min="5" max="5" width="31.90625" style="48" bestFit="1" customWidth="1"/>
    <col min="6" max="6" width="45.90625" style="4" bestFit="1" customWidth="1"/>
    <col min="7" max="7" width="10.81640625" style="4" bestFit="1" customWidth="1"/>
    <col min="8" max="8" width="12.54296875" style="1" bestFit="1" customWidth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8" x14ac:dyDescent="0.35">
      <c r="B1" s="122" t="s">
        <v>57</v>
      </c>
      <c r="C1" s="122"/>
      <c r="D1" s="122"/>
      <c r="E1" s="122"/>
      <c r="F1" s="122"/>
    </row>
    <row r="3" spans="1:8" x14ac:dyDescent="0.35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4">
      <c r="A4" s="52"/>
      <c r="B4" s="103"/>
      <c r="C4" s="35" t="s">
        <v>6</v>
      </c>
      <c r="D4" s="42"/>
      <c r="E4" s="99"/>
      <c r="F4" s="88"/>
    </row>
    <row r="5" spans="1:8" ht="24.5" thickTop="1" thickBot="1" x14ac:dyDescent="0.4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5" thickTop="1" thickBot="1" x14ac:dyDescent="0.4">
      <c r="A6" s="124"/>
      <c r="B6" s="105"/>
      <c r="C6" s="79" t="s">
        <v>110</v>
      </c>
      <c r="D6" s="83">
        <v>-1899.39</v>
      </c>
      <c r="E6" s="43"/>
      <c r="F6" s="86"/>
      <c r="H6" s="29"/>
    </row>
    <row r="7" spans="1:8" ht="24.5" thickTop="1" thickBot="1" x14ac:dyDescent="0.4">
      <c r="A7" s="121"/>
      <c r="B7" s="118">
        <v>46292</v>
      </c>
      <c r="C7" s="84" t="s">
        <v>108</v>
      </c>
      <c r="D7" s="67">
        <v>-3217.61</v>
      </c>
      <c r="E7" s="100">
        <f>'October 2026'!C77</f>
        <v>99.82</v>
      </c>
      <c r="F7" s="86" t="s">
        <v>55</v>
      </c>
    </row>
    <row r="8" spans="1:8" ht="24.5" thickTop="1" thickBot="1" x14ac:dyDescent="0.4">
      <c r="A8" s="121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5" thickTop="1" thickBot="1" x14ac:dyDescent="0.4">
      <c r="A9" s="121"/>
      <c r="B9" s="106"/>
      <c r="C9" s="53"/>
      <c r="D9" s="43"/>
      <c r="E9" s="101"/>
      <c r="F9" s="86"/>
      <c r="G9" s="102">
        <f>SUM(E6:E8)</f>
        <v>99.82</v>
      </c>
    </row>
    <row r="10" spans="1:8" ht="24.5" thickTop="1" thickBot="1" x14ac:dyDescent="0.4">
      <c r="A10" s="121"/>
      <c r="B10" s="107"/>
      <c r="C10" s="57"/>
      <c r="D10" s="85"/>
      <c r="E10" s="55"/>
      <c r="F10" s="90" t="s">
        <v>53</v>
      </c>
    </row>
    <row r="11" spans="1:8" ht="24.5" thickTop="1" thickBot="1" x14ac:dyDescent="0.4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5" thickTop="1" thickBot="1" x14ac:dyDescent="0.4">
      <c r="A12" s="121"/>
      <c r="B12" s="108"/>
      <c r="C12" s="33"/>
      <c r="D12" s="51"/>
      <c r="E12" s="51"/>
      <c r="F12" s="92"/>
    </row>
    <row r="13" spans="1:8" ht="24.5" thickTop="1" thickBot="1" x14ac:dyDescent="0.4">
      <c r="A13" s="121"/>
      <c r="B13" s="108"/>
      <c r="C13" s="33"/>
      <c r="D13" s="51"/>
      <c r="E13" s="51"/>
      <c r="F13" s="92"/>
    </row>
    <row r="14" spans="1:8" ht="24.5" thickTop="1" thickBot="1" x14ac:dyDescent="0.4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5" thickTop="1" thickBot="1" x14ac:dyDescent="0.4">
      <c r="A15" s="121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5" thickTop="1" thickBot="1" x14ac:dyDescent="0.4">
      <c r="A16" s="121"/>
      <c r="B16" s="108"/>
      <c r="C16" s="50"/>
      <c r="D16" s="51"/>
      <c r="E16" s="45"/>
      <c r="F16" s="86"/>
    </row>
    <row r="17" spans="1:11" ht="24.5" thickTop="1" thickBot="1" x14ac:dyDescent="0.4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5" thickTop="1" thickBot="1" x14ac:dyDescent="0.4">
      <c r="A18" s="121"/>
      <c r="B18" s="107"/>
      <c r="C18" s="59"/>
      <c r="D18" s="46"/>
      <c r="E18" s="46"/>
      <c r="F18" s="90" t="s">
        <v>53</v>
      </c>
    </row>
    <row r="19" spans="1:11" ht="24.5" thickTop="1" thickBot="1" x14ac:dyDescent="0.4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5" thickTop="1" thickBot="1" x14ac:dyDescent="0.4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5" thickTop="1" thickBot="1" x14ac:dyDescent="0.4">
      <c r="A21" s="121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5" thickTop="1" thickBot="1" x14ac:dyDescent="0.4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5" thickTop="1" thickBot="1" x14ac:dyDescent="0.4">
      <c r="A23" s="121"/>
      <c r="B23" s="107"/>
      <c r="C23" s="57"/>
      <c r="D23" s="44"/>
      <c r="E23" s="44"/>
      <c r="F23" s="90" t="s">
        <v>53</v>
      </c>
      <c r="J23" s="4"/>
      <c r="K23" s="4"/>
    </row>
    <row r="24" spans="1:11" ht="24.5" thickTop="1" thickBot="1" x14ac:dyDescent="0.4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5" thickTop="1" thickBot="1" x14ac:dyDescent="0.4">
      <c r="A25" s="121"/>
      <c r="B25" s="106"/>
      <c r="C25" s="33"/>
      <c r="D25" s="45"/>
      <c r="E25" s="77"/>
      <c r="F25" s="96"/>
      <c r="J25" s="4"/>
      <c r="K25" s="4"/>
    </row>
    <row r="26" spans="1:11" ht="24.5" thickTop="1" thickBot="1" x14ac:dyDescent="0.4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5" thickTop="1" thickBot="1" x14ac:dyDescent="0.4">
      <c r="A27" s="121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5" thickTop="1" thickBot="1" x14ac:dyDescent="0.4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5" thickTop="1" thickBot="1" x14ac:dyDescent="0.4">
      <c r="A29" s="121"/>
      <c r="B29" s="107"/>
      <c r="C29" s="59"/>
      <c r="D29" s="46"/>
      <c r="E29" s="46"/>
      <c r="F29" s="90" t="s">
        <v>53</v>
      </c>
    </row>
    <row r="30" spans="1:11" ht="24.5" thickTop="1" thickBot="1" x14ac:dyDescent="0.4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5" thickTop="1" thickBot="1" x14ac:dyDescent="0.4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5" thickTop="1" thickBot="1" x14ac:dyDescent="0.4">
      <c r="A32" s="121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5" thickTop="1" thickBot="1" x14ac:dyDescent="0.4">
      <c r="A33" s="121"/>
      <c r="B33" s="108"/>
      <c r="C33" s="22"/>
      <c r="D33" s="49"/>
      <c r="E33" s="43"/>
      <c r="F33" s="86"/>
    </row>
    <row r="34" spans="1:7" ht="24.5" thickTop="1" thickBot="1" x14ac:dyDescent="0.4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5" thickTop="1" thickBot="1" x14ac:dyDescent="0.4">
      <c r="A35" s="121"/>
      <c r="B35" s="107"/>
      <c r="C35" s="56"/>
      <c r="D35" s="44"/>
      <c r="E35" s="44"/>
      <c r="F35" s="90" t="s">
        <v>53</v>
      </c>
    </row>
    <row r="36" spans="1:7" ht="24.5" thickTop="1" thickBot="1" x14ac:dyDescent="0.4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5" thickTop="1" thickBot="1" x14ac:dyDescent="0.4">
      <c r="A37" s="121"/>
      <c r="B37" s="106"/>
      <c r="C37" s="33"/>
      <c r="D37" s="45"/>
      <c r="E37" s="45">
        <f>'March 2027'!C60*(-1)</f>
        <v>0</v>
      </c>
      <c r="F37" s="86" t="s">
        <v>91</v>
      </c>
    </row>
    <row r="38" spans="1:7" ht="24.5" thickTop="1" thickBot="1" x14ac:dyDescent="0.4">
      <c r="A38" s="121"/>
      <c r="B38" s="108"/>
      <c r="C38" s="50"/>
      <c r="D38" s="51"/>
      <c r="E38" s="45"/>
      <c r="F38" s="98"/>
    </row>
    <row r="39" spans="1:7" ht="24.5" thickTop="1" thickBot="1" x14ac:dyDescent="0.4">
      <c r="A39" s="121"/>
      <c r="B39" s="108"/>
      <c r="C39" s="50"/>
      <c r="D39" s="51"/>
      <c r="E39" s="45"/>
      <c r="F39" s="98"/>
    </row>
    <row r="40" spans="1:7" ht="24.5" thickTop="1" thickBot="1" x14ac:dyDescent="0.4">
      <c r="A40" s="121"/>
      <c r="B40" s="108"/>
      <c r="C40" s="50"/>
      <c r="D40" s="51"/>
      <c r="E40" s="45"/>
      <c r="F40" s="98"/>
    </row>
    <row r="41" spans="1:7" ht="24.5" thickTop="1" thickBot="1" x14ac:dyDescent="0.4">
      <c r="A41" s="121"/>
      <c r="B41" s="108"/>
      <c r="C41" s="50"/>
      <c r="D41" s="51"/>
      <c r="E41" s="45"/>
      <c r="F41" s="98"/>
    </row>
    <row r="42" spans="1:7" ht="24.5" thickTop="1" thickBot="1" x14ac:dyDescent="0.4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5" thickTop="1" thickBot="1" x14ac:dyDescent="0.4">
      <c r="A43" s="121"/>
      <c r="B43" s="107"/>
      <c r="C43" s="59"/>
      <c r="D43" s="46"/>
      <c r="E43" s="46"/>
      <c r="F43" s="90" t="s">
        <v>53</v>
      </c>
    </row>
    <row r="44" spans="1:7" ht="24.5" thickTop="1" thickBot="1" x14ac:dyDescent="0.4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5" thickTop="1" thickBot="1" x14ac:dyDescent="0.4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5" thickTop="1" thickBot="1" x14ac:dyDescent="0.4">
      <c r="A46" s="121"/>
      <c r="B46" s="106"/>
      <c r="C46" s="10"/>
      <c r="D46" s="43"/>
      <c r="E46" s="43">
        <f>'April 2027'!C60*(-1)</f>
        <v>0</v>
      </c>
      <c r="F46" s="86" t="s">
        <v>93</v>
      </c>
    </row>
    <row r="47" spans="1:7" ht="24.5" thickTop="1" thickBot="1" x14ac:dyDescent="0.4">
      <c r="A47" s="121"/>
      <c r="B47" s="108"/>
      <c r="C47" s="22"/>
      <c r="D47" s="49"/>
      <c r="E47" s="43"/>
      <c r="F47" s="98"/>
    </row>
    <row r="48" spans="1:7" ht="24.5" thickTop="1" thickBot="1" x14ac:dyDescent="0.4">
      <c r="A48" s="121"/>
      <c r="B48" s="108"/>
      <c r="C48" s="22"/>
      <c r="D48" s="49"/>
      <c r="E48" s="43"/>
      <c r="F48" s="86"/>
    </row>
    <row r="49" spans="1:9" ht="24.5" thickTop="1" thickBot="1" x14ac:dyDescent="0.4">
      <c r="A49" s="121"/>
      <c r="B49" s="108"/>
      <c r="C49" s="22"/>
      <c r="D49" s="49"/>
      <c r="E49" s="43"/>
      <c r="F49" s="98"/>
    </row>
    <row r="50" spans="1:9" ht="24.5" thickTop="1" thickBot="1" x14ac:dyDescent="0.4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5" thickTop="1" thickBot="1" x14ac:dyDescent="0.4">
      <c r="A51" s="121"/>
      <c r="B51" s="107"/>
      <c r="C51" s="57"/>
      <c r="D51" s="44"/>
      <c r="E51" s="44"/>
      <c r="F51" s="90" t="s">
        <v>53</v>
      </c>
      <c r="I51" s="34"/>
    </row>
    <row r="52" spans="1:9" ht="24.5" thickTop="1" thickBot="1" x14ac:dyDescent="0.4">
      <c r="A52" s="121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5" thickTop="1" thickBot="1" x14ac:dyDescent="0.4">
      <c r="A53" s="121"/>
      <c r="B53" s="106"/>
      <c r="C53" s="33"/>
      <c r="D53" s="45"/>
      <c r="E53" s="77"/>
      <c r="F53" s="96"/>
      <c r="I53" s="34"/>
    </row>
    <row r="54" spans="1:9" ht="24.5" thickTop="1" thickBot="1" x14ac:dyDescent="0.4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5" thickTop="1" thickBot="1" x14ac:dyDescent="0.4">
      <c r="A55" s="121"/>
      <c r="B55" s="106"/>
      <c r="C55" s="50"/>
      <c r="D55" s="45"/>
      <c r="E55" s="45">
        <f>'May 2027'!C60*(-1)</f>
        <v>0</v>
      </c>
      <c r="F55" s="86" t="s">
        <v>95</v>
      </c>
    </row>
    <row r="56" spans="1:9" ht="24.5" thickTop="1" thickBot="1" x14ac:dyDescent="0.4">
      <c r="A56" s="121"/>
      <c r="B56" s="108"/>
      <c r="C56" s="33"/>
      <c r="D56" s="51"/>
      <c r="E56" s="45"/>
      <c r="F56" s="86"/>
    </row>
    <row r="57" spans="1:9" ht="24.5" thickTop="1" thickBot="1" x14ac:dyDescent="0.4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5" thickTop="1" thickBot="1" x14ac:dyDescent="0.4">
      <c r="A58" s="121"/>
      <c r="B58" s="108"/>
      <c r="C58" s="58"/>
      <c r="D58" s="51"/>
      <c r="E58" s="51"/>
      <c r="F58" s="98"/>
    </row>
    <row r="59" spans="1:9" ht="24.5" thickTop="1" thickBot="1" x14ac:dyDescent="0.4">
      <c r="A59" s="121"/>
      <c r="B59" s="107"/>
      <c r="C59" s="114"/>
      <c r="D59" s="51"/>
      <c r="E59" s="46"/>
      <c r="F59" s="90" t="s">
        <v>53</v>
      </c>
    </row>
    <row r="60" spans="1:9" ht="24.5" thickTop="1" thickBot="1" x14ac:dyDescent="0.4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5" thickTop="1" thickBot="1" x14ac:dyDescent="0.4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5" thickTop="1" thickBot="1" x14ac:dyDescent="0.4">
      <c r="A62" s="121"/>
      <c r="B62" s="106"/>
      <c r="C62" s="82"/>
      <c r="D62" s="78"/>
      <c r="E62" s="43">
        <f>'June 2027'!C60*(-1)</f>
        <v>0</v>
      </c>
      <c r="F62" s="86" t="s">
        <v>96</v>
      </c>
    </row>
    <row r="63" spans="1:9" ht="24.5" thickTop="1" thickBot="1" x14ac:dyDescent="0.4">
      <c r="A63" s="121"/>
      <c r="B63" s="108"/>
      <c r="C63" s="22"/>
      <c r="D63" s="49"/>
      <c r="E63" s="43"/>
      <c r="F63" s="86"/>
    </row>
    <row r="64" spans="1:9" ht="24.5" thickTop="1" thickBot="1" x14ac:dyDescent="0.4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5" thickTop="1" thickBot="1" x14ac:dyDescent="0.4">
      <c r="A65" s="121"/>
      <c r="B65" s="108"/>
      <c r="C65" s="56"/>
      <c r="D65" s="49"/>
      <c r="E65" s="49"/>
      <c r="F65" s="98"/>
    </row>
    <row r="66" spans="1:7" ht="24.5" thickTop="1" thickBot="1" x14ac:dyDescent="0.4">
      <c r="A66" s="121"/>
      <c r="B66" s="107"/>
      <c r="C66" s="57"/>
      <c r="D66" s="44"/>
      <c r="E66" s="44"/>
      <c r="F66" s="90" t="s">
        <v>53</v>
      </c>
    </row>
    <row r="67" spans="1:7" ht="24.5" thickTop="1" thickBot="1" x14ac:dyDescent="0.4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5" thickTop="1" thickBot="1" x14ac:dyDescent="0.4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5" thickTop="1" thickBot="1" x14ac:dyDescent="0.4">
      <c r="A69" s="121"/>
      <c r="B69" s="106"/>
      <c r="C69" s="33"/>
      <c r="D69" s="45"/>
      <c r="E69" s="45">
        <f>'July 2027'!C60*(-1)</f>
        <v>0</v>
      </c>
      <c r="F69" s="86" t="s">
        <v>99</v>
      </c>
    </row>
    <row r="70" spans="1:7" ht="24.5" thickTop="1" thickBot="1" x14ac:dyDescent="0.4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5" thickTop="1" thickBot="1" x14ac:dyDescent="0.4">
      <c r="A71" s="121"/>
      <c r="B71" s="107"/>
      <c r="C71" s="111"/>
      <c r="D71" s="46"/>
      <c r="E71" s="46"/>
      <c r="F71" s="90" t="s">
        <v>53</v>
      </c>
    </row>
    <row r="72" spans="1:7" ht="24.5" thickTop="1" thickBot="1" x14ac:dyDescent="0.4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5" thickTop="1" thickBot="1" x14ac:dyDescent="0.4">
      <c r="A73" s="121"/>
      <c r="B73" s="118"/>
      <c r="C73" s="82"/>
      <c r="D73" s="78"/>
      <c r="E73" s="78"/>
      <c r="F73" s="96"/>
    </row>
    <row r="74" spans="1:7" ht="24.5" thickTop="1" thickBot="1" x14ac:dyDescent="0.4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5" thickTop="1" thickBot="1" x14ac:dyDescent="0.4">
      <c r="A75" s="121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5" thickTop="1" thickBot="1" x14ac:dyDescent="0.4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5" thickTop="1" thickBot="1" x14ac:dyDescent="0.4">
      <c r="A77" s="121"/>
      <c r="B77" s="107"/>
      <c r="C77" s="57"/>
      <c r="D77" s="44"/>
      <c r="E77" s="44"/>
      <c r="F77" s="90" t="s">
        <v>53</v>
      </c>
    </row>
    <row r="78" spans="1:7" ht="24.5" thickTop="1" thickBot="1" x14ac:dyDescent="0.4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5" thickTop="1" thickBot="1" x14ac:dyDescent="0.4">
      <c r="A79" s="121"/>
      <c r="B79" s="112"/>
      <c r="C79" s="87"/>
      <c r="D79" s="77"/>
      <c r="E79" s="77"/>
      <c r="F79" s="96"/>
    </row>
    <row r="80" spans="1:7" ht="24.5" thickTop="1" thickBot="1" x14ac:dyDescent="0.4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5" thickTop="1" thickBot="1" x14ac:dyDescent="0.4">
      <c r="A81" s="121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5" thickTop="1" thickBot="1" x14ac:dyDescent="0.4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5" thickTop="1" thickBot="1" x14ac:dyDescent="0.4">
      <c r="A83" s="125"/>
      <c r="B83" s="107"/>
      <c r="C83" s="111"/>
      <c r="D83" s="46"/>
      <c r="E83" s="46"/>
      <c r="F83" s="90" t="s">
        <v>53</v>
      </c>
    </row>
    <row r="84" spans="1:7" ht="24.5" thickTop="1" thickBot="1" x14ac:dyDescent="0.4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5" thickTop="1" thickBot="1" x14ac:dyDescent="0.4">
      <c r="A85" s="121"/>
      <c r="B85" s="110"/>
      <c r="C85" s="82"/>
      <c r="D85" s="78"/>
      <c r="E85" s="78"/>
      <c r="F85" s="96"/>
    </row>
    <row r="86" spans="1:7" ht="24.5" thickTop="1" thickBot="1" x14ac:dyDescent="0.4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5" thickTop="1" thickBot="1" x14ac:dyDescent="0.4">
      <c r="A87" s="121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5" thickTop="1" thickBot="1" x14ac:dyDescent="0.4">
      <c r="A88" s="121"/>
      <c r="B88" s="108"/>
      <c r="C88" s="22"/>
      <c r="D88" s="49"/>
      <c r="E88" s="43"/>
      <c r="F88" s="86"/>
    </row>
    <row r="89" spans="1:7" ht="24.5" thickTop="1" thickBot="1" x14ac:dyDescent="0.4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5" thickTop="1" thickBot="1" x14ac:dyDescent="0.4">
      <c r="A90" s="121"/>
      <c r="B90" s="107"/>
      <c r="C90" s="57"/>
      <c r="D90" s="44"/>
      <c r="E90" s="44"/>
      <c r="F90" s="90" t="s">
        <v>53</v>
      </c>
    </row>
    <row r="91" spans="1:7" ht="24" thickTop="1" x14ac:dyDescent="0.35">
      <c r="D91" s="48"/>
    </row>
    <row r="92" spans="1:7" x14ac:dyDescent="0.35">
      <c r="D92" s="48"/>
    </row>
    <row r="93" spans="1:7" x14ac:dyDescent="0.35">
      <c r="D93" s="48"/>
    </row>
    <row r="94" spans="1:7" ht="24" thickBot="1" x14ac:dyDescent="0.4">
      <c r="D94" s="48"/>
    </row>
    <row r="95" spans="1:7" ht="48" thickTop="1" thickBot="1" x14ac:dyDescent="0.4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5" thickTop="1" thickBot="1" x14ac:dyDescent="0.6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99.82</v>
      </c>
    </row>
    <row r="97" spans="3:3" ht="24" thickTop="1" x14ac:dyDescent="0.35">
      <c r="C97" s="48"/>
    </row>
    <row r="98" spans="3:3" x14ac:dyDescent="0.35">
      <c r="C98" s="48"/>
    </row>
    <row r="99" spans="3:3" x14ac:dyDescent="0.35">
      <c r="C99" s="48"/>
    </row>
    <row r="100" spans="3:3" x14ac:dyDescent="0.35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A6" workbookViewId="0">
      <selection activeCell="D17" sqref="D17"/>
    </sheetView>
  </sheetViews>
  <sheetFormatPr defaultRowHeight="14.5" x14ac:dyDescent="0.35"/>
  <cols>
    <col min="1" max="1" width="33.81640625" bestFit="1" customWidth="1"/>
    <col min="2" max="2" width="75.54296875" bestFit="1" customWidth="1"/>
    <col min="3" max="3" width="14.1796875" style="26" bestFit="1" customWidth="1"/>
    <col min="4" max="4" width="29.1796875" bestFit="1" customWidth="1"/>
    <col min="10" max="10" width="24.453125" customWidth="1"/>
  </cols>
  <sheetData>
    <row r="1" spans="1:4" ht="23.5" x14ac:dyDescent="0.35">
      <c r="A1" s="11" t="s">
        <v>20</v>
      </c>
      <c r="B1" s="32"/>
      <c r="C1" s="29"/>
      <c r="D1" s="1"/>
    </row>
    <row r="2" spans="1:4" ht="23.5" x14ac:dyDescent="0.35">
      <c r="A2" s="9"/>
      <c r="B2" s="4"/>
      <c r="C2" s="29"/>
      <c r="D2" s="1"/>
    </row>
    <row r="3" spans="1:4" ht="23.5" x14ac:dyDescent="0.35">
      <c r="A3" s="8" t="s">
        <v>21</v>
      </c>
    </row>
    <row r="4" spans="1:4" ht="23.5" x14ac:dyDescent="0.35">
      <c r="A4" s="3" t="s">
        <v>1</v>
      </c>
      <c r="B4" s="5" t="s">
        <v>2</v>
      </c>
      <c r="C4" s="24" t="s">
        <v>3</v>
      </c>
      <c r="D4" s="2" t="s">
        <v>22</v>
      </c>
    </row>
    <row r="5" spans="1:4" ht="23.5" x14ac:dyDescent="0.35">
      <c r="A5" s="3"/>
      <c r="B5" s="10"/>
      <c r="C5" s="25"/>
      <c r="D5" s="2"/>
    </row>
    <row r="6" spans="1:4" ht="47" x14ac:dyDescent="0.35">
      <c r="A6" s="3">
        <v>46308</v>
      </c>
      <c r="B6" s="40" t="s">
        <v>80</v>
      </c>
      <c r="C6" s="25">
        <v>30700</v>
      </c>
      <c r="D6" s="2" t="s">
        <v>54</v>
      </c>
    </row>
    <row r="7" spans="1:4" ht="23.5" x14ac:dyDescent="0.35">
      <c r="A7" s="3"/>
      <c r="B7" s="10"/>
      <c r="C7" s="25"/>
      <c r="D7" s="2"/>
    </row>
    <row r="8" spans="1:4" ht="23.5" x14ac:dyDescent="0.35">
      <c r="A8" s="3"/>
      <c r="B8" s="10"/>
      <c r="C8" s="25"/>
      <c r="D8" s="2"/>
    </row>
    <row r="9" spans="1:4" ht="23.5" x14ac:dyDescent="0.35">
      <c r="A9" s="3"/>
      <c r="B9" s="10"/>
      <c r="C9" s="25"/>
      <c r="D9" s="2"/>
    </row>
    <row r="10" spans="1:4" ht="23.5" x14ac:dyDescent="0.35">
      <c r="A10" s="3"/>
      <c r="B10" s="10"/>
      <c r="C10" s="25"/>
      <c r="D10" s="2"/>
    </row>
    <row r="11" spans="1:4" ht="23.5" x14ac:dyDescent="0.35">
      <c r="A11" s="3"/>
      <c r="B11" s="5"/>
      <c r="C11" s="24"/>
      <c r="D11" s="2"/>
    </row>
    <row r="12" spans="1:4" ht="23.5" x14ac:dyDescent="0.35">
      <c r="A12" s="3"/>
      <c r="B12" s="5"/>
      <c r="C12" s="24"/>
      <c r="D12" s="2"/>
    </row>
    <row r="13" spans="1:4" ht="23.5" x14ac:dyDescent="0.35">
      <c r="B13" s="10" t="s">
        <v>41</v>
      </c>
      <c r="C13" s="25">
        <f>SUM(C5:C12)</f>
        <v>30700</v>
      </c>
      <c r="D13" s="2"/>
    </row>
    <row r="15" spans="1:4" ht="23.5" x14ac:dyDescent="0.35">
      <c r="B15" s="10" t="s">
        <v>42</v>
      </c>
      <c r="C15" s="25">
        <f>C13/12</f>
        <v>2558.3333333333335</v>
      </c>
    </row>
    <row r="16" spans="1:4" ht="23.5" x14ac:dyDescent="0.35">
      <c r="B16" s="10" t="s">
        <v>46</v>
      </c>
      <c r="C16" s="25">
        <f>C13/365</f>
        <v>84.109589041095887</v>
      </c>
    </row>
    <row r="17" spans="2:3" ht="23.5" x14ac:dyDescent="0.35">
      <c r="B17" s="10" t="s">
        <v>45</v>
      </c>
      <c r="C17" s="71">
        <f>C16/3</f>
        <v>28.036529680365295</v>
      </c>
    </row>
    <row r="18" spans="2:3" ht="23.5" x14ac:dyDescent="0.35">
      <c r="B18" s="10" t="s">
        <v>47</v>
      </c>
      <c r="C18" s="71">
        <f>C16/4</f>
        <v>21.027397260273972</v>
      </c>
    </row>
    <row r="19" spans="2:3" ht="23.5" x14ac:dyDescent="0.35">
      <c r="B19" s="10" t="s">
        <v>43</v>
      </c>
      <c r="C19" s="27">
        <f>C15/3</f>
        <v>852.77777777777783</v>
      </c>
    </row>
    <row r="27" spans="2:3" ht="23.5" x14ac:dyDescent="0.35">
      <c r="B27" s="23" t="s">
        <v>24</v>
      </c>
      <c r="C27" s="27">
        <f>C13/3</f>
        <v>10233.333333333334</v>
      </c>
    </row>
    <row r="34" spans="2:2" x14ac:dyDescent="0.35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6" zoomScaleNormal="60" zoomScaleSheetLayoutView="100" workbookViewId="0">
      <selection activeCell="B28" sqref="B28"/>
    </sheetView>
  </sheetViews>
  <sheetFormatPr defaultColWidth="8.81640625" defaultRowHeight="26" x14ac:dyDescent="0.35"/>
  <cols>
    <col min="1" max="1" width="8.81640625" style="73"/>
    <col min="2" max="2" width="56.6328125" style="73" bestFit="1" customWidth="1"/>
    <col min="3" max="3" width="13" style="73" bestFit="1" customWidth="1"/>
    <col min="4" max="4" width="47.54296875" style="73" bestFit="1" customWidth="1"/>
    <col min="5" max="5" width="25.08984375" style="73" bestFit="1" customWidth="1"/>
    <col min="6" max="6" width="13.90625" style="73" bestFit="1" customWidth="1"/>
    <col min="7" max="7" width="19.1796875" style="73" bestFit="1" customWidth="1"/>
    <col min="8" max="16384" width="8.81640625" style="73"/>
  </cols>
  <sheetData>
    <row r="4" spans="2:4" x14ac:dyDescent="0.35">
      <c r="B4" s="72" t="s">
        <v>48</v>
      </c>
      <c r="C4" s="72" t="s">
        <v>49</v>
      </c>
      <c r="D4" s="72" t="s">
        <v>62</v>
      </c>
    </row>
    <row r="5" spans="2:4" x14ac:dyDescent="0.35">
      <c r="B5" s="74">
        <v>46296</v>
      </c>
      <c r="C5" s="72">
        <v>18</v>
      </c>
      <c r="D5" s="75">
        <f>$C$24*C5</f>
        <v>504.65753424657532</v>
      </c>
    </row>
    <row r="6" spans="2:4" x14ac:dyDescent="0.35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5">
      <c r="B7" s="74">
        <v>46357</v>
      </c>
      <c r="C7" s="72">
        <v>31</v>
      </c>
      <c r="D7" s="75">
        <f t="shared" si="0"/>
        <v>869.13242009132409</v>
      </c>
    </row>
    <row r="8" spans="2:4" x14ac:dyDescent="0.35">
      <c r="B8" s="74">
        <v>46388</v>
      </c>
      <c r="C8" s="72">
        <v>31</v>
      </c>
      <c r="D8" s="75">
        <f t="shared" si="0"/>
        <v>869.13242009132409</v>
      </c>
    </row>
    <row r="9" spans="2:4" x14ac:dyDescent="0.35">
      <c r="B9" s="74">
        <v>46419</v>
      </c>
      <c r="C9" s="72">
        <v>28</v>
      </c>
      <c r="D9" s="75">
        <f t="shared" si="0"/>
        <v>785.02283105022821</v>
      </c>
    </row>
    <row r="10" spans="2:4" x14ac:dyDescent="0.35">
      <c r="B10" s="74">
        <v>46447</v>
      </c>
      <c r="C10" s="72">
        <v>31</v>
      </c>
      <c r="D10" s="75">
        <f t="shared" si="0"/>
        <v>869.13242009132409</v>
      </c>
    </row>
    <row r="11" spans="2:4" x14ac:dyDescent="0.35">
      <c r="B11" s="74">
        <v>46478</v>
      </c>
      <c r="C11" s="72">
        <v>30</v>
      </c>
      <c r="D11" s="75">
        <f t="shared" si="0"/>
        <v>841.09589041095887</v>
      </c>
    </row>
    <row r="12" spans="2:4" x14ac:dyDescent="0.35">
      <c r="B12" s="74">
        <v>46508</v>
      </c>
      <c r="C12" s="72">
        <v>31</v>
      </c>
      <c r="D12" s="75">
        <f t="shared" si="0"/>
        <v>869.13242009132409</v>
      </c>
    </row>
    <row r="13" spans="2:4" x14ac:dyDescent="0.35">
      <c r="B13" s="74">
        <v>46539</v>
      </c>
      <c r="C13" s="72">
        <v>30</v>
      </c>
      <c r="D13" s="75">
        <f t="shared" si="0"/>
        <v>841.09589041095887</v>
      </c>
    </row>
    <row r="14" spans="2:4" x14ac:dyDescent="0.35">
      <c r="B14" s="74">
        <v>46569</v>
      </c>
      <c r="C14" s="72">
        <v>31</v>
      </c>
      <c r="D14" s="75">
        <f t="shared" si="0"/>
        <v>869.13242009132409</v>
      </c>
    </row>
    <row r="15" spans="2:4" x14ac:dyDescent="0.35">
      <c r="B15" s="74">
        <v>46600</v>
      </c>
      <c r="C15" s="72">
        <v>31</v>
      </c>
      <c r="D15" s="75">
        <f t="shared" si="0"/>
        <v>869.13242009132409</v>
      </c>
    </row>
    <row r="16" spans="2:4" x14ac:dyDescent="0.35">
      <c r="B16" s="74">
        <v>46631</v>
      </c>
      <c r="C16" s="72">
        <v>30</v>
      </c>
      <c r="D16" s="75">
        <f t="shared" si="0"/>
        <v>841.09589041095887</v>
      </c>
    </row>
    <row r="17" spans="2:7" x14ac:dyDescent="0.35">
      <c r="B17" s="74">
        <v>46661</v>
      </c>
      <c r="C17" s="72">
        <v>13</v>
      </c>
      <c r="D17" s="75">
        <f t="shared" si="0"/>
        <v>364.47488584474883</v>
      </c>
    </row>
    <row r="18" spans="2:7" x14ac:dyDescent="0.35">
      <c r="B18" s="72"/>
      <c r="C18" s="72"/>
      <c r="D18" s="75"/>
    </row>
    <row r="19" spans="2:7" x14ac:dyDescent="0.35">
      <c r="B19" s="72"/>
      <c r="C19" s="72"/>
      <c r="D19" s="75"/>
    </row>
    <row r="20" spans="2:7" x14ac:dyDescent="0.35">
      <c r="B20" s="72"/>
      <c r="C20" s="72"/>
      <c r="D20" s="75"/>
    </row>
    <row r="21" spans="2:7" x14ac:dyDescent="0.35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5">
      <c r="E23" s="76">
        <f>D21*3</f>
        <v>30699.999999999996</v>
      </c>
      <c r="F23" s="76"/>
    </row>
    <row r="24" spans="2:7" x14ac:dyDescent="0.35">
      <c r="B24" s="10" t="s">
        <v>45</v>
      </c>
      <c r="C24" s="71">
        <f>'Main Expenses (Fixed)'!C17</f>
        <v>28.036529680365295</v>
      </c>
    </row>
    <row r="25" spans="2:7" x14ac:dyDescent="0.35">
      <c r="B25" s="10" t="s">
        <v>47</v>
      </c>
      <c r="C25" s="71">
        <f>'Main Expenses (Fixed)'!C18</f>
        <v>21.027397260273972</v>
      </c>
    </row>
    <row r="26" spans="2:7" x14ac:dyDescent="0.35">
      <c r="B26" s="10" t="s">
        <v>51</v>
      </c>
      <c r="C26" s="25">
        <f>'Main Expenses (Fixed)'!C16</f>
        <v>84.109589041095887</v>
      </c>
    </row>
    <row r="30" spans="2:7" x14ac:dyDescent="0.35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5">
      <c r="D31" s="5" t="s">
        <v>65</v>
      </c>
      <c r="E31" s="61"/>
      <c r="F31" s="61"/>
      <c r="G31" s="61"/>
    </row>
    <row r="32" spans="2:7" x14ac:dyDescent="0.35">
      <c r="D32" s="5" t="s">
        <v>66</v>
      </c>
      <c r="E32" s="61"/>
      <c r="F32" s="61"/>
      <c r="G32" s="61"/>
    </row>
    <row r="33" spans="4:7" x14ac:dyDescent="0.35">
      <c r="D33" s="5" t="s">
        <v>67</v>
      </c>
      <c r="E33" s="61"/>
      <c r="F33" s="61"/>
      <c r="G33" s="61"/>
    </row>
    <row r="34" spans="4:7" x14ac:dyDescent="0.35">
      <c r="D34" s="5" t="s">
        <v>68</v>
      </c>
      <c r="E34" s="61"/>
      <c r="F34" s="61"/>
      <c r="G34" s="61"/>
    </row>
    <row r="35" spans="4:7" x14ac:dyDescent="0.35">
      <c r="D35" s="5" t="s">
        <v>69</v>
      </c>
      <c r="E35" s="61"/>
      <c r="F35" s="61"/>
      <c r="G35" s="61"/>
    </row>
    <row r="36" spans="4:7" x14ac:dyDescent="0.35">
      <c r="D36" s="5" t="s">
        <v>70</v>
      </c>
      <c r="E36" s="61"/>
      <c r="F36" s="61"/>
      <c r="G36" s="61"/>
    </row>
    <row r="37" spans="4:7" x14ac:dyDescent="0.35">
      <c r="D37" s="5" t="s">
        <v>71</v>
      </c>
      <c r="E37" s="61"/>
      <c r="F37" s="61"/>
      <c r="G37" s="61"/>
    </row>
    <row r="38" spans="4:7" x14ac:dyDescent="0.35">
      <c r="D38" s="60" t="s">
        <v>72</v>
      </c>
      <c r="E38" s="61"/>
      <c r="F38" s="61"/>
      <c r="G38" s="61"/>
    </row>
    <row r="39" spans="4:7" x14ac:dyDescent="0.35">
      <c r="D39" s="5" t="s">
        <v>73</v>
      </c>
      <c r="E39" s="61"/>
      <c r="F39" s="61"/>
      <c r="G39" s="61"/>
    </row>
    <row r="40" spans="4:7" x14ac:dyDescent="0.35">
      <c r="D40" s="5" t="s">
        <v>74</v>
      </c>
      <c r="E40" s="61"/>
      <c r="F40" s="61"/>
      <c r="G40" s="61"/>
    </row>
    <row r="41" spans="4:7" x14ac:dyDescent="0.35">
      <c r="D41" s="5" t="s">
        <v>75</v>
      </c>
      <c r="E41" s="61"/>
      <c r="F41" s="61"/>
      <c r="G41" s="61"/>
    </row>
    <row r="42" spans="4:7" x14ac:dyDescent="0.35">
      <c r="D42" s="5" t="s">
        <v>76</v>
      </c>
      <c r="E42" s="61"/>
      <c r="F42" s="61"/>
      <c r="G42" s="61"/>
    </row>
    <row r="43" spans="4:7" x14ac:dyDescent="0.35">
      <c r="D43" s="5" t="s">
        <v>65</v>
      </c>
      <c r="E43" s="61"/>
      <c r="F43" s="61"/>
      <c r="G43" s="61"/>
    </row>
    <row r="44" spans="4:7" x14ac:dyDescent="0.35">
      <c r="D44" s="4"/>
      <c r="E44" s="4"/>
      <c r="F44" s="4"/>
      <c r="G44" s="4"/>
    </row>
    <row r="45" spans="4:7" x14ac:dyDescent="0.35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5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abSelected="1" topLeftCell="A17" workbookViewId="0">
      <selection activeCell="D20" sqref="D2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25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/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65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>
        <v>46302</v>
      </c>
      <c r="B25" s="5" t="s">
        <v>111</v>
      </c>
      <c r="C25" s="24">
        <v>11</v>
      </c>
      <c r="D25" s="16" t="s">
        <v>54</v>
      </c>
    </row>
    <row r="26" spans="1:4" ht="23.5" x14ac:dyDescent="0.35">
      <c r="A26" s="68">
        <v>46308</v>
      </c>
      <c r="B26" s="5" t="s">
        <v>112</v>
      </c>
      <c r="C26" s="24">
        <v>4.5</v>
      </c>
      <c r="D26" s="16" t="s">
        <v>54</v>
      </c>
    </row>
    <row r="27" spans="1:4" ht="23.5" x14ac:dyDescent="0.35">
      <c r="A27" s="68">
        <v>46308</v>
      </c>
      <c r="B27" s="5" t="s">
        <v>113</v>
      </c>
      <c r="C27" s="24">
        <v>261.95999999999998</v>
      </c>
      <c r="D27" s="16" t="s">
        <v>54</v>
      </c>
    </row>
    <row r="28" spans="1:4" ht="23.5" x14ac:dyDescent="0.35">
      <c r="A28" s="68">
        <v>46312</v>
      </c>
      <c r="B28" s="5" t="s">
        <v>114</v>
      </c>
      <c r="C28" s="24">
        <v>22</v>
      </c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8"/>
      <c r="B39" s="7"/>
      <c r="C39" s="31"/>
      <c r="D39" s="16"/>
    </row>
    <row r="40" spans="1:4" ht="23.5" x14ac:dyDescent="0.35">
      <c r="A40" s="68"/>
      <c r="B40" s="22" t="s">
        <v>23</v>
      </c>
      <c r="C40" s="30">
        <f>SUBTOTAL(109,C25:C39)</f>
        <v>299.45999999999998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/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5"/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299.45999999999998</v>
      </c>
    </row>
    <row r="77" spans="2:3" ht="47" x14ac:dyDescent="0.35">
      <c r="B77" s="41" t="s">
        <v>28</v>
      </c>
      <c r="C77" s="27">
        <f>C76/3</f>
        <v>99.82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29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 t="s">
        <v>54</v>
      </c>
    </row>
    <row r="28" spans="1:4" ht="23.5" x14ac:dyDescent="0.35">
      <c r="A28" s="64"/>
      <c r="B28" s="5"/>
      <c r="C28" s="24"/>
      <c r="D28" s="16" t="s">
        <v>54</v>
      </c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 t="s">
        <v>53</v>
      </c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/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/>
    </row>
    <row r="27" spans="1:4" ht="23.5" x14ac:dyDescent="0.35">
      <c r="A27" s="64"/>
      <c r="B27" s="5"/>
      <c r="C27" s="24"/>
      <c r="D27" s="16"/>
    </row>
    <row r="28" spans="1:4" ht="23.5" x14ac:dyDescent="0.35">
      <c r="A28" s="64"/>
      <c r="B28" s="5"/>
      <c r="C28" s="24"/>
      <c r="D28" s="16"/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/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31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 t="shared" ref="C17" si="0"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/>
    </row>
    <row r="28" spans="1:4" ht="23.5" x14ac:dyDescent="0.35">
      <c r="A28" s="64"/>
      <c r="B28" s="5"/>
      <c r="C28" s="24"/>
      <c r="D28" s="16"/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 t="s">
        <v>53</v>
      </c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 t="shared" ref="C60" si="1"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5" x14ac:dyDescent="0.35"/>
  <cols>
    <col min="1" max="1" width="37.90625" bestFit="1" customWidth="1"/>
    <col min="2" max="2" width="45.36328125" bestFit="1" customWidth="1"/>
    <col min="3" max="3" width="15.54296875" style="26" bestFit="1" customWidth="1"/>
    <col min="4" max="4" width="29.1796875" bestFit="1" customWidth="1"/>
  </cols>
  <sheetData>
    <row r="1" spans="1:4" ht="21" x14ac:dyDescent="0.5">
      <c r="A1" s="38" t="s">
        <v>32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 t="s">
        <v>52</v>
      </c>
    </row>
    <row r="11" spans="1:4" ht="23.5" x14ac:dyDescent="0.35">
      <c r="A11" s="64"/>
      <c r="B11" s="5"/>
      <c r="C11" s="24"/>
      <c r="D11" s="16" t="s">
        <v>52</v>
      </c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 t="s">
        <v>54</v>
      </c>
    </row>
    <row r="28" spans="1:4" ht="23.5" x14ac:dyDescent="0.35">
      <c r="A28" s="64"/>
      <c r="B28" s="5"/>
      <c r="C28" s="24"/>
      <c r="D28" s="16" t="s">
        <v>54</v>
      </c>
    </row>
    <row r="29" spans="1:4" ht="23.5" x14ac:dyDescent="0.35">
      <c r="A29" s="64"/>
      <c r="B29" s="5"/>
      <c r="C29" s="24"/>
      <c r="D29" s="16" t="s">
        <v>54</v>
      </c>
    </row>
    <row r="30" spans="1:4" ht="23.5" x14ac:dyDescent="0.35">
      <c r="A30" s="64"/>
      <c r="B30" s="5"/>
      <c r="C30" s="24"/>
      <c r="D30" s="16" t="s">
        <v>54</v>
      </c>
    </row>
    <row r="31" spans="1:4" ht="23.5" x14ac:dyDescent="0.35">
      <c r="A31" s="64"/>
      <c r="B31" s="5"/>
      <c r="C31" s="24"/>
      <c r="D31" s="16" t="s">
        <v>54</v>
      </c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5" x14ac:dyDescent="0.35"/>
  <cols>
    <col min="1" max="1" width="37.08984375" bestFit="1" customWidth="1"/>
    <col min="2" max="2" width="41" bestFit="1" customWidth="1"/>
    <col min="3" max="3" width="14.453125" style="26" bestFit="1" customWidth="1"/>
    <col min="4" max="4" width="29.1796875" bestFit="1" customWidth="1"/>
  </cols>
  <sheetData>
    <row r="1" spans="1:4" ht="21" x14ac:dyDescent="0.5">
      <c r="A1" s="38" t="s">
        <v>33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 t="s">
        <v>52</v>
      </c>
    </row>
    <row r="12" spans="1:4" ht="23.5" x14ac:dyDescent="0.35">
      <c r="A12" s="68"/>
      <c r="B12" s="5"/>
      <c r="C12" s="24"/>
      <c r="D12" s="16" t="s">
        <v>52</v>
      </c>
    </row>
    <row r="13" spans="1:4" ht="23.5" x14ac:dyDescent="0.35">
      <c r="A13" s="68"/>
      <c r="B13" s="5"/>
      <c r="C13" s="24"/>
      <c r="D13" s="16" t="s">
        <v>52</v>
      </c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 t="s">
        <v>54</v>
      </c>
    </row>
    <row r="31" spans="1:4" ht="23.5" x14ac:dyDescent="0.35">
      <c r="A31" s="68"/>
      <c r="B31" s="5"/>
      <c r="C31" s="24"/>
      <c r="D31" s="16" t="s">
        <v>54</v>
      </c>
    </row>
    <row r="32" spans="1:4" ht="23.5" x14ac:dyDescent="0.35">
      <c r="A32" s="68"/>
      <c r="B32" s="5"/>
      <c r="C32" s="24"/>
      <c r="D32" s="16" t="s">
        <v>54</v>
      </c>
    </row>
    <row r="33" spans="1:4" ht="23.5" x14ac:dyDescent="0.35">
      <c r="A33" s="68"/>
      <c r="B33" s="5"/>
      <c r="C33" s="24"/>
      <c r="D33" s="16" t="s">
        <v>54</v>
      </c>
    </row>
    <row r="34" spans="1:4" ht="23.5" x14ac:dyDescent="0.35">
      <c r="A34" s="68"/>
      <c r="B34" s="5"/>
      <c r="C34" s="24"/>
      <c r="D34" s="16" t="s">
        <v>54</v>
      </c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 t="s">
        <v>53</v>
      </c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34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35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4.54296875" style="26" bestFit="1" customWidth="1"/>
    <col min="4" max="4" width="29.1796875" bestFit="1" customWidth="1"/>
  </cols>
  <sheetData>
    <row r="1" spans="1:4" ht="21" x14ac:dyDescent="0.5">
      <c r="A1" s="38" t="s">
        <v>36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37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113"/>
      <c r="B28" s="5"/>
      <c r="C28" s="24"/>
      <c r="D28" s="16" t="s">
        <v>54</v>
      </c>
    </row>
    <row r="29" spans="1:4" ht="23.5" x14ac:dyDescent="0.35">
      <c r="A29" s="113"/>
      <c r="B29" s="5"/>
      <c r="C29" s="24"/>
      <c r="D29" s="16" t="s">
        <v>54</v>
      </c>
    </row>
    <row r="30" spans="1:4" ht="23.5" x14ac:dyDescent="0.35">
      <c r="A30" s="113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38</v>
      </c>
      <c r="B1" s="13"/>
    </row>
    <row r="5" spans="1:4" ht="23.5" x14ac:dyDescent="0.35">
      <c r="A5" s="12" t="s">
        <v>39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113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113"/>
      <c r="B25" s="5"/>
      <c r="C25" s="24"/>
      <c r="D25" s="16" t="s">
        <v>54</v>
      </c>
    </row>
    <row r="26" spans="1:4" ht="23.5" x14ac:dyDescent="0.35">
      <c r="A26" s="113"/>
      <c r="B26" s="5"/>
      <c r="C26" s="24"/>
      <c r="D26" s="16" t="s">
        <v>54</v>
      </c>
    </row>
    <row r="27" spans="1:4" ht="23.5" x14ac:dyDescent="0.35">
      <c r="A27" s="113"/>
      <c r="B27" s="5"/>
      <c r="C27" s="24"/>
      <c r="D27" s="16" t="s">
        <v>54</v>
      </c>
    </row>
    <row r="28" spans="1:4" ht="23.5" x14ac:dyDescent="0.35">
      <c r="A28" s="113"/>
      <c r="B28" s="5"/>
      <c r="C28" s="24"/>
      <c r="D28" s="16" t="s">
        <v>54</v>
      </c>
    </row>
    <row r="29" spans="1:4" ht="23.5" x14ac:dyDescent="0.35">
      <c r="A29" s="113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40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/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>
        <f>SUM(C17:C33)</f>
        <v>0</v>
      </c>
      <c r="D34" s="16"/>
    </row>
    <row r="35" spans="1:4" ht="23.5" x14ac:dyDescent="0.35">
      <c r="A35" s="68"/>
      <c r="B35" s="5"/>
      <c r="C35" s="24">
        <f>SUM(C17:C33)</f>
        <v>0</v>
      </c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50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/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2026-10-19T05:55:10Z</dcterms:modified>
  <cp:category/>
  <cp:contentStatus/>
</cp:coreProperties>
</file>